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426" codeName="{0EBEE25D-5E30-3CCF-7B8A-937B5088EA05}"/>
  <workbookPr filterPrivacy="1" codeName="ThisWorkbook" defaultThemeVersion="164011"/>
  <bookViews>
    <workbookView xWindow="0" yWindow="0" windowWidth="22260" windowHeight="12645" activeTab="9"/>
  </bookViews>
  <sheets>
    <sheet name="联盟DKP榜单" sheetId="19" r:id="rId1"/>
    <sheet name="YY统计" sheetId="18" r:id="rId2"/>
    <sheet name="掠夺" sheetId="21" r:id="rId3"/>
    <sheet name="帮战总榜" sheetId="7" r:id="rId4"/>
    <sheet name="逐梦-箱子" sheetId="11" r:id="rId5"/>
    <sheet name="如梦-箱子" sheetId="12" r:id="rId6"/>
    <sheet name="若梦-箱子" sheetId="13" r:id="rId7"/>
    <sheet name="何梦-箱子" sheetId="14" r:id="rId8"/>
    <sheet name="扣分" sheetId="20" r:id="rId9"/>
    <sheet name="结余" sheetId="22" r:id="rId10"/>
  </sheets>
  <definedNames>
    <definedName name="_xlnm._FilterDatabase" localSheetId="0" hidden="1">联盟DKP榜单!$A$1:$E$580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2" l="1"/>
  <c r="F9" i="12" l="1"/>
  <c r="G9" i="12" s="1"/>
  <c r="F15" i="12"/>
  <c r="F25" i="12"/>
  <c r="F46" i="12"/>
  <c r="F58" i="12"/>
  <c r="F74" i="12"/>
  <c r="B12" i="14"/>
  <c r="C12" i="14"/>
  <c r="D12" i="14"/>
  <c r="B4" i="14"/>
  <c r="E4" i="14" s="1"/>
  <c r="C4" i="14"/>
  <c r="D4" i="14"/>
  <c r="B13" i="14"/>
  <c r="C13" i="14"/>
  <c r="D13" i="14"/>
  <c r="B21" i="14"/>
  <c r="C21" i="14"/>
  <c r="D21" i="14"/>
  <c r="B3" i="14"/>
  <c r="C3" i="14"/>
  <c r="D3" i="14"/>
  <c r="B5" i="14"/>
  <c r="E5" i="14" s="1"/>
  <c r="C5" i="14"/>
  <c r="D5" i="14"/>
  <c r="B6" i="14"/>
  <c r="C6" i="14"/>
  <c r="D6" i="14"/>
  <c r="B7" i="14"/>
  <c r="C7" i="14"/>
  <c r="D7" i="14"/>
  <c r="B8" i="14"/>
  <c r="C8" i="14"/>
  <c r="D8" i="14"/>
  <c r="B26" i="14"/>
  <c r="C26" i="14"/>
  <c r="D26" i="14"/>
  <c r="B9" i="14"/>
  <c r="C9" i="14"/>
  <c r="D9" i="14"/>
  <c r="B22" i="14"/>
  <c r="C22" i="14"/>
  <c r="D22" i="14"/>
  <c r="B14" i="14"/>
  <c r="C14" i="14"/>
  <c r="D14" i="14"/>
  <c r="B27" i="14"/>
  <c r="E27" i="14" s="1"/>
  <c r="C27" i="14"/>
  <c r="D27" i="14"/>
  <c r="B23" i="14"/>
  <c r="C23" i="14"/>
  <c r="D23" i="14"/>
  <c r="B10" i="14"/>
  <c r="C10" i="14"/>
  <c r="D10" i="14"/>
  <c r="B15" i="14"/>
  <c r="C15" i="14"/>
  <c r="D15" i="14"/>
  <c r="B11" i="14"/>
  <c r="C11" i="14"/>
  <c r="D11" i="14"/>
  <c r="E11" i="14" s="1"/>
  <c r="B16" i="14"/>
  <c r="C16" i="14"/>
  <c r="D16" i="14"/>
  <c r="B28" i="14"/>
  <c r="C28" i="14"/>
  <c r="D28" i="14"/>
  <c r="B17" i="14"/>
  <c r="C17" i="14"/>
  <c r="D17" i="14"/>
  <c r="B29" i="14"/>
  <c r="C29" i="14"/>
  <c r="D29" i="14"/>
  <c r="B30" i="14"/>
  <c r="C30" i="14"/>
  <c r="D30" i="14"/>
  <c r="B31" i="14"/>
  <c r="C31" i="14"/>
  <c r="D31" i="14"/>
  <c r="B32" i="14"/>
  <c r="C32" i="14"/>
  <c r="D32" i="14"/>
  <c r="B24" i="14"/>
  <c r="E24" i="14" s="1"/>
  <c r="C24" i="14"/>
  <c r="D24" i="14"/>
  <c r="B25" i="14"/>
  <c r="C25" i="14"/>
  <c r="D25" i="14"/>
  <c r="B18" i="14"/>
  <c r="C18" i="14"/>
  <c r="D18" i="14"/>
  <c r="B19" i="14"/>
  <c r="C19" i="14"/>
  <c r="D19" i="14"/>
  <c r="B33" i="14"/>
  <c r="E33" i="14" s="1"/>
  <c r="C33" i="14"/>
  <c r="D33" i="14"/>
  <c r="B20" i="14"/>
  <c r="C20" i="14"/>
  <c r="D20" i="14"/>
  <c r="B34" i="14"/>
  <c r="C34" i="14"/>
  <c r="D34" i="14"/>
  <c r="B35" i="14"/>
  <c r="C35" i="14"/>
  <c r="D35" i="14"/>
  <c r="B38" i="14"/>
  <c r="E38" i="14" s="1"/>
  <c r="F38" i="14" s="1"/>
  <c r="C38" i="14"/>
  <c r="D38" i="14"/>
  <c r="B39" i="14"/>
  <c r="C39" i="14"/>
  <c r="D39" i="14"/>
  <c r="B40" i="14"/>
  <c r="C40" i="14"/>
  <c r="D40" i="14"/>
  <c r="B41" i="14"/>
  <c r="C41" i="14"/>
  <c r="D41" i="14"/>
  <c r="B42" i="14"/>
  <c r="C42" i="14"/>
  <c r="D42" i="14"/>
  <c r="B36" i="14"/>
  <c r="C36" i="14"/>
  <c r="D36" i="14"/>
  <c r="B46" i="14"/>
  <c r="C46" i="14"/>
  <c r="D46" i="14"/>
  <c r="B47" i="14"/>
  <c r="C47" i="14"/>
  <c r="D47" i="14"/>
  <c r="B48" i="14"/>
  <c r="C48" i="14"/>
  <c r="D48" i="14"/>
  <c r="B49" i="14"/>
  <c r="E49" i="14" s="1"/>
  <c r="C49" i="14"/>
  <c r="D49" i="14"/>
  <c r="B50" i="14"/>
  <c r="C50" i="14"/>
  <c r="D50" i="14"/>
  <c r="B51" i="14"/>
  <c r="C51" i="14"/>
  <c r="D51" i="14"/>
  <c r="B43" i="14"/>
  <c r="C43" i="14"/>
  <c r="D43" i="14"/>
  <c r="B52" i="14"/>
  <c r="C52" i="14"/>
  <c r="D52" i="14"/>
  <c r="B53" i="14"/>
  <c r="C53" i="14"/>
  <c r="D53" i="14"/>
  <c r="B54" i="14"/>
  <c r="C54" i="14"/>
  <c r="D54" i="14"/>
  <c r="B55" i="14"/>
  <c r="C55" i="14"/>
  <c r="D55" i="14"/>
  <c r="B56" i="14"/>
  <c r="C56" i="14"/>
  <c r="D56" i="14"/>
  <c r="B57" i="14"/>
  <c r="C57" i="14"/>
  <c r="D57" i="14"/>
  <c r="B37" i="14"/>
  <c r="C37" i="14"/>
  <c r="D37" i="14"/>
  <c r="B58" i="14"/>
  <c r="C58" i="14"/>
  <c r="D58" i="14"/>
  <c r="B59" i="14"/>
  <c r="C59" i="14"/>
  <c r="D59" i="14"/>
  <c r="B44" i="14"/>
  <c r="C44" i="14"/>
  <c r="D44" i="14"/>
  <c r="B60" i="14"/>
  <c r="C60" i="14"/>
  <c r="D60" i="14"/>
  <c r="B61" i="14"/>
  <c r="E61" i="14" s="1"/>
  <c r="F61" i="14" s="1"/>
  <c r="C61" i="14"/>
  <c r="D61" i="14"/>
  <c r="B62" i="14"/>
  <c r="C62" i="14"/>
  <c r="D62" i="14"/>
  <c r="B63" i="14"/>
  <c r="C63" i="14"/>
  <c r="D63" i="14"/>
  <c r="B64" i="14"/>
  <c r="C64" i="14"/>
  <c r="D64" i="14"/>
  <c r="B65" i="14"/>
  <c r="C65" i="14"/>
  <c r="D65" i="14"/>
  <c r="E65" i="14"/>
  <c r="F65" i="14" s="1"/>
  <c r="B66" i="14"/>
  <c r="C66" i="14"/>
  <c r="D66" i="14"/>
  <c r="B67" i="14"/>
  <c r="C67" i="14"/>
  <c r="D67" i="14"/>
  <c r="B68" i="14"/>
  <c r="C68" i="14"/>
  <c r="D68" i="14"/>
  <c r="B69" i="14"/>
  <c r="C69" i="14"/>
  <c r="D69" i="14"/>
  <c r="B70" i="14"/>
  <c r="C70" i="14"/>
  <c r="D70" i="14"/>
  <c r="B71" i="14"/>
  <c r="C71" i="14"/>
  <c r="D71" i="14"/>
  <c r="B72" i="14"/>
  <c r="C72" i="14"/>
  <c r="D72" i="14"/>
  <c r="B73" i="14"/>
  <c r="C73" i="14"/>
  <c r="D73" i="14"/>
  <c r="B74" i="14"/>
  <c r="C74" i="14"/>
  <c r="D74" i="14"/>
  <c r="B75" i="14"/>
  <c r="C75" i="14"/>
  <c r="D75" i="14"/>
  <c r="B76" i="14"/>
  <c r="C76" i="14"/>
  <c r="D76" i="14"/>
  <c r="B77" i="14"/>
  <c r="C77" i="14"/>
  <c r="D77" i="14"/>
  <c r="B78" i="14"/>
  <c r="C78" i="14"/>
  <c r="D78" i="14"/>
  <c r="E78" i="14"/>
  <c r="F78" i="14" s="1"/>
  <c r="G78" i="14" s="1"/>
  <c r="B79" i="14"/>
  <c r="C79" i="14"/>
  <c r="D79" i="14"/>
  <c r="B80" i="14"/>
  <c r="C80" i="14"/>
  <c r="D80" i="14"/>
  <c r="B81" i="14"/>
  <c r="C81" i="14"/>
  <c r="D81" i="14"/>
  <c r="B82" i="14"/>
  <c r="C82" i="14"/>
  <c r="D82" i="14"/>
  <c r="B83" i="14"/>
  <c r="C83" i="14"/>
  <c r="D83" i="14"/>
  <c r="B84" i="14"/>
  <c r="C84" i="14"/>
  <c r="D84" i="14"/>
  <c r="B85" i="14"/>
  <c r="C85" i="14"/>
  <c r="D85" i="14"/>
  <c r="B86" i="14"/>
  <c r="C86" i="14"/>
  <c r="D86" i="14"/>
  <c r="B87" i="14"/>
  <c r="C87" i="14"/>
  <c r="D87" i="14"/>
  <c r="B88" i="14"/>
  <c r="C88" i="14"/>
  <c r="D88" i="14"/>
  <c r="B89" i="14"/>
  <c r="C89" i="14"/>
  <c r="D89" i="14"/>
  <c r="B90" i="14"/>
  <c r="C90" i="14"/>
  <c r="D90" i="14"/>
  <c r="B91" i="14"/>
  <c r="C91" i="14"/>
  <c r="D91" i="14"/>
  <c r="B92" i="14"/>
  <c r="C92" i="14"/>
  <c r="D92" i="14"/>
  <c r="B93" i="14"/>
  <c r="C93" i="14"/>
  <c r="D93" i="14"/>
  <c r="B94" i="14"/>
  <c r="C94" i="14"/>
  <c r="D94" i="14"/>
  <c r="B95" i="14"/>
  <c r="C95" i="14"/>
  <c r="D95" i="14"/>
  <c r="B96" i="14"/>
  <c r="C96" i="14"/>
  <c r="D96" i="14"/>
  <c r="B97" i="14"/>
  <c r="C97" i="14"/>
  <c r="D97" i="14"/>
  <c r="B98" i="14"/>
  <c r="C98" i="14"/>
  <c r="D98" i="14"/>
  <c r="B99" i="14"/>
  <c r="C99" i="14"/>
  <c r="D99" i="14"/>
  <c r="B100" i="14"/>
  <c r="C100" i="14"/>
  <c r="D100" i="14"/>
  <c r="B101" i="14"/>
  <c r="C101" i="14"/>
  <c r="D101" i="14"/>
  <c r="B102" i="14"/>
  <c r="C102" i="14"/>
  <c r="D102" i="14"/>
  <c r="B103" i="14"/>
  <c r="C103" i="14"/>
  <c r="D103" i="14"/>
  <c r="B104" i="14"/>
  <c r="C104" i="14"/>
  <c r="D104" i="14"/>
  <c r="B105" i="14"/>
  <c r="C105" i="14"/>
  <c r="D105" i="14"/>
  <c r="B106" i="14"/>
  <c r="C106" i="14"/>
  <c r="D106" i="14"/>
  <c r="B107" i="14"/>
  <c r="C107" i="14"/>
  <c r="D107" i="14"/>
  <c r="B108" i="14"/>
  <c r="C108" i="14"/>
  <c r="D108" i="14"/>
  <c r="B109" i="14"/>
  <c r="C109" i="14"/>
  <c r="D109" i="14"/>
  <c r="B110" i="14"/>
  <c r="C110" i="14"/>
  <c r="D110" i="14"/>
  <c r="B45" i="14"/>
  <c r="C45" i="14"/>
  <c r="D45" i="14"/>
  <c r="B111" i="14"/>
  <c r="C111" i="14"/>
  <c r="D111" i="14"/>
  <c r="B112" i="14"/>
  <c r="C112" i="14"/>
  <c r="D112" i="14"/>
  <c r="B113" i="14"/>
  <c r="C113" i="14"/>
  <c r="D113" i="14"/>
  <c r="B114" i="14"/>
  <c r="C114" i="14"/>
  <c r="D114" i="14"/>
  <c r="B115" i="14"/>
  <c r="C115" i="14"/>
  <c r="D115" i="14"/>
  <c r="B116" i="14"/>
  <c r="C116" i="14"/>
  <c r="D116" i="14"/>
  <c r="B117" i="14"/>
  <c r="C117" i="14"/>
  <c r="D117" i="14"/>
  <c r="B118" i="14"/>
  <c r="C118" i="14"/>
  <c r="D118" i="14"/>
  <c r="B119" i="14"/>
  <c r="C119" i="14"/>
  <c r="D119" i="14"/>
  <c r="B120" i="14"/>
  <c r="C120" i="14"/>
  <c r="D120" i="14"/>
  <c r="B121" i="14"/>
  <c r="C121" i="14"/>
  <c r="D121" i="14"/>
  <c r="B122" i="14"/>
  <c r="C122" i="14"/>
  <c r="D122" i="14"/>
  <c r="B123" i="14"/>
  <c r="C123" i="14"/>
  <c r="D123" i="14"/>
  <c r="B124" i="14"/>
  <c r="C124" i="14"/>
  <c r="D124" i="14"/>
  <c r="B125" i="14"/>
  <c r="C125" i="14"/>
  <c r="D125" i="14"/>
  <c r="B126" i="14"/>
  <c r="C126" i="14"/>
  <c r="D126" i="14"/>
  <c r="B127" i="14"/>
  <c r="C127" i="14"/>
  <c r="D127" i="14"/>
  <c r="B128" i="14"/>
  <c r="C128" i="14"/>
  <c r="D128" i="14"/>
  <c r="B129" i="14"/>
  <c r="C129" i="14"/>
  <c r="D129" i="14"/>
  <c r="B130" i="14"/>
  <c r="C130" i="14"/>
  <c r="D130" i="14"/>
  <c r="B131" i="14"/>
  <c r="C131" i="14"/>
  <c r="D131" i="14"/>
  <c r="B132" i="14"/>
  <c r="C132" i="14"/>
  <c r="D132" i="14"/>
  <c r="B133" i="14"/>
  <c r="E133" i="14" s="1"/>
  <c r="F133" i="14" s="1"/>
  <c r="C133" i="14"/>
  <c r="D133" i="14"/>
  <c r="B134" i="14"/>
  <c r="C134" i="14"/>
  <c r="D134" i="14"/>
  <c r="B135" i="14"/>
  <c r="C135" i="14"/>
  <c r="D135" i="14"/>
  <c r="B136" i="14"/>
  <c r="E136" i="14" s="1"/>
  <c r="C136" i="14"/>
  <c r="D136" i="14"/>
  <c r="B137" i="14"/>
  <c r="C137" i="14"/>
  <c r="D137" i="14"/>
  <c r="B138" i="14"/>
  <c r="C138" i="14"/>
  <c r="D138" i="14"/>
  <c r="B139" i="14"/>
  <c r="C139" i="14"/>
  <c r="D139" i="14"/>
  <c r="B140" i="14"/>
  <c r="C140" i="14"/>
  <c r="D140" i="14"/>
  <c r="B141" i="14"/>
  <c r="C141" i="14"/>
  <c r="D141" i="14"/>
  <c r="B142" i="14"/>
  <c r="C142" i="14"/>
  <c r="D142" i="14"/>
  <c r="B4" i="13"/>
  <c r="C4" i="13"/>
  <c r="D4" i="13"/>
  <c r="B3" i="13"/>
  <c r="C3" i="13"/>
  <c r="D3" i="13"/>
  <c r="B32" i="13"/>
  <c r="C32" i="13"/>
  <c r="D32" i="13"/>
  <c r="B7" i="13"/>
  <c r="E7" i="13" s="1"/>
  <c r="F7" i="13" s="1"/>
  <c r="C7" i="13"/>
  <c r="D7" i="13"/>
  <c r="B33" i="13"/>
  <c r="C33" i="13"/>
  <c r="D33" i="13"/>
  <c r="B8" i="13"/>
  <c r="C8" i="13"/>
  <c r="D8" i="13"/>
  <c r="B9" i="13"/>
  <c r="C9" i="13"/>
  <c r="D9" i="13"/>
  <c r="B17" i="13"/>
  <c r="C17" i="13"/>
  <c r="D17" i="13"/>
  <c r="B5" i="13"/>
  <c r="C5" i="13"/>
  <c r="D5" i="13"/>
  <c r="B10" i="13"/>
  <c r="C10" i="13"/>
  <c r="D10" i="13"/>
  <c r="B18" i="13"/>
  <c r="C18" i="13"/>
  <c r="D18" i="13"/>
  <c r="B19" i="13"/>
  <c r="C19" i="13"/>
  <c r="D19" i="13"/>
  <c r="B20" i="13"/>
  <c r="C20" i="13"/>
  <c r="D20" i="13"/>
  <c r="B11" i="13"/>
  <c r="C11" i="13"/>
  <c r="D11" i="13"/>
  <c r="B34" i="13"/>
  <c r="C34" i="13"/>
  <c r="D34" i="13"/>
  <c r="B12" i="13"/>
  <c r="C12" i="13"/>
  <c r="D12" i="13"/>
  <c r="B21" i="13"/>
  <c r="C21" i="13"/>
  <c r="D21" i="13"/>
  <c r="B13" i="13"/>
  <c r="C13" i="13"/>
  <c r="D13" i="13"/>
  <c r="B22" i="13"/>
  <c r="C22" i="13"/>
  <c r="D22" i="13"/>
  <c r="B14" i="13"/>
  <c r="E14" i="13" s="1"/>
  <c r="C14" i="13"/>
  <c r="D14" i="13"/>
  <c r="B6" i="13"/>
  <c r="C6" i="13"/>
  <c r="D6" i="13"/>
  <c r="B15" i="13"/>
  <c r="C15" i="13"/>
  <c r="D15" i="13"/>
  <c r="B23" i="13"/>
  <c r="C23" i="13"/>
  <c r="D23" i="13"/>
  <c r="B24" i="13"/>
  <c r="E24" i="13" s="1"/>
  <c r="C24" i="13"/>
  <c r="D24" i="13"/>
  <c r="B25" i="13"/>
  <c r="C25" i="13"/>
  <c r="D25" i="13"/>
  <c r="B26" i="13"/>
  <c r="C26" i="13"/>
  <c r="D26" i="13"/>
  <c r="B42" i="13"/>
  <c r="C42" i="13"/>
  <c r="D42" i="13"/>
  <c r="B43" i="13"/>
  <c r="C43" i="13"/>
  <c r="D43" i="13"/>
  <c r="B27" i="13"/>
  <c r="C27" i="13"/>
  <c r="D27" i="13"/>
  <c r="E27" i="13" s="1"/>
  <c r="F27" i="13" s="1"/>
  <c r="G27" i="13" s="1"/>
  <c r="B28" i="13"/>
  <c r="C28" i="13"/>
  <c r="D28" i="13"/>
  <c r="B35" i="13"/>
  <c r="C35" i="13"/>
  <c r="D35" i="13"/>
  <c r="B44" i="13"/>
  <c r="C44" i="13"/>
  <c r="D44" i="13"/>
  <c r="B36" i="13"/>
  <c r="C36" i="13"/>
  <c r="D36" i="13"/>
  <c r="B29" i="13"/>
  <c r="C29" i="13"/>
  <c r="D29" i="13"/>
  <c r="B37" i="13"/>
  <c r="C37" i="13"/>
  <c r="D37" i="13"/>
  <c r="B30" i="13"/>
  <c r="C30" i="13"/>
  <c r="D30" i="13"/>
  <c r="E30" i="13"/>
  <c r="B45" i="13"/>
  <c r="C45" i="13"/>
  <c r="D45" i="13"/>
  <c r="B46" i="13"/>
  <c r="C46" i="13"/>
  <c r="D46" i="13"/>
  <c r="B47" i="13"/>
  <c r="C47" i="13"/>
  <c r="D47" i="13"/>
  <c r="B38" i="13"/>
  <c r="C38" i="13"/>
  <c r="D38" i="13"/>
  <c r="B48" i="13"/>
  <c r="C48" i="13"/>
  <c r="D48" i="13"/>
  <c r="B49" i="13"/>
  <c r="C49" i="13"/>
  <c r="D49" i="13"/>
  <c r="B50" i="13"/>
  <c r="C50" i="13"/>
  <c r="D50" i="13"/>
  <c r="B51" i="13"/>
  <c r="C51" i="13"/>
  <c r="D51" i="13"/>
  <c r="B52" i="13"/>
  <c r="C52" i="13"/>
  <c r="D52" i="13"/>
  <c r="B53" i="13"/>
  <c r="C53" i="13"/>
  <c r="D53" i="13"/>
  <c r="B16" i="13"/>
  <c r="C16" i="13"/>
  <c r="D16" i="13"/>
  <c r="B31" i="13"/>
  <c r="C31" i="13"/>
  <c r="D31" i="13"/>
  <c r="B54" i="13"/>
  <c r="C54" i="13"/>
  <c r="D54" i="13"/>
  <c r="B55" i="13"/>
  <c r="C55" i="13"/>
  <c r="D55" i="13"/>
  <c r="B56" i="13"/>
  <c r="C56" i="13"/>
  <c r="D56" i="13"/>
  <c r="B57" i="13"/>
  <c r="C57" i="13"/>
  <c r="D57" i="13"/>
  <c r="E57" i="13" s="1"/>
  <c r="F57" i="13" s="1"/>
  <c r="B39" i="13"/>
  <c r="C39" i="13"/>
  <c r="D39" i="13"/>
  <c r="B58" i="13"/>
  <c r="C58" i="13"/>
  <c r="D58" i="13"/>
  <c r="B60" i="13"/>
  <c r="C60" i="13"/>
  <c r="D60" i="13"/>
  <c r="B61" i="13"/>
  <c r="C61" i="13"/>
  <c r="D61" i="13"/>
  <c r="B62" i="13"/>
  <c r="C62" i="13"/>
  <c r="D62" i="13"/>
  <c r="B63" i="13"/>
  <c r="C63" i="13"/>
  <c r="D63" i="13"/>
  <c r="B64" i="13"/>
  <c r="C64" i="13"/>
  <c r="D64" i="13"/>
  <c r="B65" i="13"/>
  <c r="C65" i="13"/>
  <c r="D65" i="13"/>
  <c r="B66" i="13"/>
  <c r="C66" i="13"/>
  <c r="D66" i="13"/>
  <c r="B67" i="13"/>
  <c r="C67" i="13"/>
  <c r="D67" i="13"/>
  <c r="B68" i="13"/>
  <c r="C68" i="13"/>
  <c r="D68" i="13"/>
  <c r="B69" i="13"/>
  <c r="C69" i="13"/>
  <c r="D69" i="13"/>
  <c r="B75" i="13"/>
  <c r="C75" i="13"/>
  <c r="D75" i="13"/>
  <c r="B70" i="13"/>
  <c r="C70" i="13"/>
  <c r="D70" i="13"/>
  <c r="B76" i="13"/>
  <c r="C76" i="13"/>
  <c r="D76" i="13"/>
  <c r="B77" i="13"/>
  <c r="C77" i="13"/>
  <c r="D77" i="13"/>
  <c r="B78" i="13"/>
  <c r="C78" i="13"/>
  <c r="D78" i="13"/>
  <c r="B79" i="13"/>
  <c r="C79" i="13"/>
  <c r="D79" i="13"/>
  <c r="B80" i="13"/>
  <c r="C80" i="13"/>
  <c r="D80" i="13"/>
  <c r="B81" i="13"/>
  <c r="C81" i="13"/>
  <c r="D81" i="13"/>
  <c r="B82" i="13"/>
  <c r="C82" i="13"/>
  <c r="D82" i="13"/>
  <c r="B83" i="13"/>
  <c r="C83" i="13"/>
  <c r="D83" i="13"/>
  <c r="B84" i="13"/>
  <c r="E84" i="13" s="1"/>
  <c r="C84" i="13"/>
  <c r="D84" i="13"/>
  <c r="B85" i="13"/>
  <c r="C85" i="13"/>
  <c r="D85" i="13"/>
  <c r="B86" i="13"/>
  <c r="C86" i="13"/>
  <c r="D86" i="13"/>
  <c r="B87" i="13"/>
  <c r="C87" i="13"/>
  <c r="D87" i="13"/>
  <c r="B88" i="13"/>
  <c r="C88" i="13"/>
  <c r="D88" i="13"/>
  <c r="B89" i="13"/>
  <c r="E89" i="13" s="1"/>
  <c r="F89" i="13" s="1"/>
  <c r="C89" i="13"/>
  <c r="D89" i="13"/>
  <c r="B90" i="13"/>
  <c r="C90" i="13"/>
  <c r="D90" i="13"/>
  <c r="B91" i="13"/>
  <c r="C91" i="13"/>
  <c r="D91" i="13"/>
  <c r="B92" i="13"/>
  <c r="C92" i="13"/>
  <c r="D92" i="13"/>
  <c r="B93" i="13"/>
  <c r="C93" i="13"/>
  <c r="D93" i="13"/>
  <c r="B94" i="13"/>
  <c r="C94" i="13"/>
  <c r="D94" i="13"/>
  <c r="B71" i="13"/>
  <c r="C71" i="13"/>
  <c r="D71" i="13"/>
  <c r="B95" i="13"/>
  <c r="C95" i="13"/>
  <c r="D95" i="13"/>
  <c r="B96" i="13"/>
  <c r="C96" i="13"/>
  <c r="D96" i="13"/>
  <c r="B97" i="13"/>
  <c r="C97" i="13"/>
  <c r="D97" i="13"/>
  <c r="B98" i="13"/>
  <c r="C98" i="13"/>
  <c r="D98" i="13"/>
  <c r="B99" i="13"/>
  <c r="C99" i="13"/>
  <c r="D99" i="13"/>
  <c r="B100" i="13"/>
  <c r="C100" i="13"/>
  <c r="D100" i="13"/>
  <c r="B101" i="13"/>
  <c r="C101" i="13"/>
  <c r="D101" i="13"/>
  <c r="B102" i="13"/>
  <c r="C102" i="13"/>
  <c r="D102" i="13"/>
  <c r="B103" i="13"/>
  <c r="C103" i="13"/>
  <c r="D103" i="13"/>
  <c r="B104" i="13"/>
  <c r="C104" i="13"/>
  <c r="D104" i="13"/>
  <c r="B105" i="13"/>
  <c r="C105" i="13"/>
  <c r="D105" i="13"/>
  <c r="B59" i="13"/>
  <c r="C59" i="13"/>
  <c r="D59" i="13"/>
  <c r="B106" i="13"/>
  <c r="C106" i="13"/>
  <c r="D106" i="13"/>
  <c r="B107" i="13"/>
  <c r="C107" i="13"/>
  <c r="E107" i="13" s="1"/>
  <c r="D107" i="13"/>
  <c r="B108" i="13"/>
  <c r="C108" i="13"/>
  <c r="D108" i="13"/>
  <c r="B109" i="13"/>
  <c r="C109" i="13"/>
  <c r="D109" i="13"/>
  <c r="B110" i="13"/>
  <c r="C110" i="13"/>
  <c r="D110" i="13"/>
  <c r="B111" i="13"/>
  <c r="C111" i="13"/>
  <c r="D111" i="13"/>
  <c r="B112" i="13"/>
  <c r="C112" i="13"/>
  <c r="D112" i="13"/>
  <c r="B113" i="13"/>
  <c r="E113" i="13" s="1"/>
  <c r="C113" i="13"/>
  <c r="D113" i="13"/>
  <c r="B114" i="13"/>
  <c r="C114" i="13"/>
  <c r="D114" i="13"/>
  <c r="E114" i="13"/>
  <c r="F114" i="13" s="1"/>
  <c r="B115" i="13"/>
  <c r="C115" i="13"/>
  <c r="D115" i="13"/>
  <c r="B116" i="13"/>
  <c r="C116" i="13"/>
  <c r="D116" i="13"/>
  <c r="B117" i="13"/>
  <c r="C117" i="13"/>
  <c r="D117" i="13"/>
  <c r="B118" i="13"/>
  <c r="C118" i="13"/>
  <c r="D118" i="13"/>
  <c r="B119" i="13"/>
  <c r="C119" i="13"/>
  <c r="D119" i="13"/>
  <c r="B72" i="13"/>
  <c r="C72" i="13"/>
  <c r="D72" i="13"/>
  <c r="B120" i="13"/>
  <c r="C120" i="13"/>
  <c r="D120" i="13"/>
  <c r="B121" i="13"/>
  <c r="C121" i="13"/>
  <c r="D121" i="13"/>
  <c r="B122" i="13"/>
  <c r="C122" i="13"/>
  <c r="D122" i="13"/>
  <c r="B123" i="13"/>
  <c r="C123" i="13"/>
  <c r="D123" i="13"/>
  <c r="B124" i="13"/>
  <c r="C124" i="13"/>
  <c r="D124" i="13"/>
  <c r="B125" i="13"/>
  <c r="E125" i="13" s="1"/>
  <c r="C125" i="13"/>
  <c r="D125" i="13"/>
  <c r="B73" i="13"/>
  <c r="C73" i="13"/>
  <c r="D73" i="13"/>
  <c r="E73" i="13"/>
  <c r="F73" i="13" s="1"/>
  <c r="G73" i="13" s="1"/>
  <c r="B126" i="13"/>
  <c r="C126" i="13"/>
  <c r="D126" i="13"/>
  <c r="B127" i="13"/>
  <c r="C127" i="13"/>
  <c r="D127" i="13"/>
  <c r="B128" i="13"/>
  <c r="C128" i="13"/>
  <c r="D128" i="13"/>
  <c r="B129" i="13"/>
  <c r="C129" i="13"/>
  <c r="D129" i="13"/>
  <c r="B40" i="13"/>
  <c r="C40" i="13"/>
  <c r="D40" i="13"/>
  <c r="B130" i="13"/>
  <c r="C130" i="13"/>
  <c r="D130" i="13"/>
  <c r="B131" i="13"/>
  <c r="C131" i="13"/>
  <c r="D131" i="13"/>
  <c r="B132" i="13"/>
  <c r="C132" i="13"/>
  <c r="D132" i="13"/>
  <c r="B133" i="13"/>
  <c r="C133" i="13"/>
  <c r="D133" i="13"/>
  <c r="B134" i="13"/>
  <c r="C134" i="13"/>
  <c r="D134" i="13"/>
  <c r="B135" i="13"/>
  <c r="C135" i="13"/>
  <c r="D135" i="13"/>
  <c r="B74" i="13"/>
  <c r="C74" i="13"/>
  <c r="D74" i="13"/>
  <c r="B136" i="13"/>
  <c r="C136" i="13"/>
  <c r="D136" i="13"/>
  <c r="B137" i="13"/>
  <c r="C137" i="13"/>
  <c r="D137" i="13"/>
  <c r="B138" i="13"/>
  <c r="C138" i="13"/>
  <c r="D138" i="13"/>
  <c r="B139" i="13"/>
  <c r="C139" i="13"/>
  <c r="D139" i="13"/>
  <c r="B140" i="13"/>
  <c r="C140" i="13"/>
  <c r="D140" i="13"/>
  <c r="B141" i="13"/>
  <c r="C141" i="13"/>
  <c r="D141" i="13"/>
  <c r="B142" i="13"/>
  <c r="C142" i="13"/>
  <c r="D142" i="13"/>
  <c r="B41" i="13"/>
  <c r="C41" i="13"/>
  <c r="D41" i="13"/>
  <c r="B143" i="13"/>
  <c r="C143" i="13"/>
  <c r="D143" i="13"/>
  <c r="B144" i="13"/>
  <c r="C144" i="13"/>
  <c r="D144" i="13"/>
  <c r="B3" i="12"/>
  <c r="E3" i="12" s="1"/>
  <c r="C3" i="12"/>
  <c r="D3" i="12"/>
  <c r="B4" i="12"/>
  <c r="C4" i="12"/>
  <c r="D4" i="12"/>
  <c r="B5" i="12"/>
  <c r="C5" i="12"/>
  <c r="D5" i="12"/>
  <c r="E5" i="12"/>
  <c r="F5" i="12" s="1"/>
  <c r="B6" i="12"/>
  <c r="C6" i="12"/>
  <c r="D6" i="12"/>
  <c r="B7" i="12"/>
  <c r="C7" i="12"/>
  <c r="D7" i="12"/>
  <c r="E7" i="12"/>
  <c r="F7" i="12" s="1"/>
  <c r="B20" i="12"/>
  <c r="C20" i="12"/>
  <c r="D20" i="12"/>
  <c r="B8" i="12"/>
  <c r="C8" i="12"/>
  <c r="D8" i="12"/>
  <c r="B21" i="12"/>
  <c r="C21" i="12"/>
  <c r="D21" i="12"/>
  <c r="B9" i="12"/>
  <c r="C9" i="12"/>
  <c r="D9" i="12"/>
  <c r="E9" i="12"/>
  <c r="B10" i="12"/>
  <c r="C10" i="12"/>
  <c r="D10" i="12"/>
  <c r="B22" i="12"/>
  <c r="E22" i="12" s="1"/>
  <c r="C22" i="12"/>
  <c r="D22" i="12"/>
  <c r="B23" i="12"/>
  <c r="C23" i="12"/>
  <c r="D23" i="12"/>
  <c r="B31" i="12"/>
  <c r="C31" i="12"/>
  <c r="D31" i="12"/>
  <c r="B13" i="12"/>
  <c r="C13" i="12"/>
  <c r="D13" i="12"/>
  <c r="B11" i="12"/>
  <c r="C11" i="12"/>
  <c r="D11" i="12"/>
  <c r="B14" i="12"/>
  <c r="C14" i="12"/>
  <c r="D14" i="12"/>
  <c r="B24" i="12"/>
  <c r="C24" i="12"/>
  <c r="D24" i="12"/>
  <c r="E24" i="12" s="1"/>
  <c r="B12" i="12"/>
  <c r="C12" i="12"/>
  <c r="D12" i="12"/>
  <c r="B25" i="12"/>
  <c r="C25" i="12"/>
  <c r="D25" i="12"/>
  <c r="E25" i="12"/>
  <c r="B32" i="12"/>
  <c r="C32" i="12"/>
  <c r="D32" i="12"/>
  <c r="B15" i="12"/>
  <c r="C15" i="12"/>
  <c r="D15" i="12"/>
  <c r="E15" i="12"/>
  <c r="B16" i="12"/>
  <c r="C16" i="12"/>
  <c r="D16" i="12"/>
  <c r="B33" i="12"/>
  <c r="C33" i="12"/>
  <c r="D33" i="12"/>
  <c r="B34" i="12"/>
  <c r="C34" i="12"/>
  <c r="D34" i="12"/>
  <c r="B26" i="12"/>
  <c r="E26" i="12" s="1"/>
  <c r="F26" i="12" s="1"/>
  <c r="G26" i="12" s="1"/>
  <c r="C26" i="12"/>
  <c r="D26" i="12"/>
  <c r="B27" i="12"/>
  <c r="C27" i="12"/>
  <c r="D27" i="12"/>
  <c r="B17" i="12"/>
  <c r="C17" i="12"/>
  <c r="D17" i="12"/>
  <c r="E17" i="12"/>
  <c r="F17" i="12" s="1"/>
  <c r="B35" i="12"/>
  <c r="C35" i="12"/>
  <c r="D35" i="12"/>
  <c r="B36" i="12"/>
  <c r="C36" i="12"/>
  <c r="D36" i="12"/>
  <c r="B37" i="12"/>
  <c r="C37" i="12"/>
  <c r="D37" i="12"/>
  <c r="B38" i="12"/>
  <c r="C38" i="12"/>
  <c r="D38" i="12"/>
  <c r="B18" i="12"/>
  <c r="C18" i="12"/>
  <c r="D18" i="12"/>
  <c r="B39" i="12"/>
  <c r="E39" i="12" s="1"/>
  <c r="C39" i="12"/>
  <c r="D39" i="12"/>
  <c r="B40" i="12"/>
  <c r="C40" i="12"/>
  <c r="D40" i="12"/>
  <c r="B41" i="12"/>
  <c r="E41" i="12" s="1"/>
  <c r="F41" i="12" s="1"/>
  <c r="C41" i="12"/>
  <c r="D41" i="12"/>
  <c r="B42" i="12"/>
  <c r="C42" i="12"/>
  <c r="D42" i="12"/>
  <c r="B43" i="12"/>
  <c r="E43" i="12" s="1"/>
  <c r="C43" i="12"/>
  <c r="D43" i="12"/>
  <c r="B19" i="12"/>
  <c r="C19" i="12"/>
  <c r="D19" i="12"/>
  <c r="B44" i="12"/>
  <c r="C44" i="12"/>
  <c r="D44" i="12"/>
  <c r="B28" i="12"/>
  <c r="C28" i="12"/>
  <c r="D28" i="12"/>
  <c r="B45" i="12"/>
  <c r="C45" i="12"/>
  <c r="D45" i="12"/>
  <c r="B29" i="12"/>
  <c r="C29" i="12"/>
  <c r="D29" i="12"/>
  <c r="B46" i="12"/>
  <c r="C46" i="12"/>
  <c r="E46" i="12" s="1"/>
  <c r="D46" i="12"/>
  <c r="B47" i="12"/>
  <c r="C47" i="12"/>
  <c r="D47" i="12"/>
  <c r="B48" i="12"/>
  <c r="C48" i="12"/>
  <c r="D48" i="12"/>
  <c r="B49" i="12"/>
  <c r="C49" i="12"/>
  <c r="D49" i="12"/>
  <c r="B30" i="12"/>
  <c r="C30" i="12"/>
  <c r="D30" i="12"/>
  <c r="B50" i="12"/>
  <c r="E50" i="12" s="1"/>
  <c r="F50" i="12" s="1"/>
  <c r="C50" i="12"/>
  <c r="D50" i="12"/>
  <c r="B51" i="12"/>
  <c r="C51" i="12"/>
  <c r="D51" i="12"/>
  <c r="E51" i="12" s="1"/>
  <c r="B55" i="12"/>
  <c r="C55" i="12"/>
  <c r="D55" i="12"/>
  <c r="B56" i="12"/>
  <c r="C56" i="12"/>
  <c r="D56" i="12"/>
  <c r="E56" i="12"/>
  <c r="F56" i="12" s="1"/>
  <c r="B57" i="12"/>
  <c r="C57" i="12"/>
  <c r="D57" i="12"/>
  <c r="B58" i="12"/>
  <c r="C58" i="12"/>
  <c r="D58" i="12"/>
  <c r="E58" i="12"/>
  <c r="B59" i="12"/>
  <c r="C59" i="12"/>
  <c r="D59" i="12"/>
  <c r="B60" i="12"/>
  <c r="C60" i="12"/>
  <c r="D60" i="12"/>
  <c r="B61" i="12"/>
  <c r="C61" i="12"/>
  <c r="D61" i="12"/>
  <c r="B62" i="12"/>
  <c r="C62" i="12"/>
  <c r="D62" i="12"/>
  <c r="B63" i="12"/>
  <c r="C63" i="12"/>
  <c r="D63" i="12"/>
  <c r="B64" i="12"/>
  <c r="C64" i="12"/>
  <c r="E64" i="12" s="1"/>
  <c r="F64" i="12" s="1"/>
  <c r="D64" i="12"/>
  <c r="B65" i="12"/>
  <c r="C65" i="12"/>
  <c r="D65" i="12"/>
  <c r="B66" i="12"/>
  <c r="C66" i="12"/>
  <c r="D66" i="12"/>
  <c r="B67" i="12"/>
  <c r="C67" i="12"/>
  <c r="D67" i="12"/>
  <c r="B68" i="12"/>
  <c r="C68" i="12"/>
  <c r="D68" i="12"/>
  <c r="B69" i="12"/>
  <c r="C69" i="12"/>
  <c r="D69" i="12"/>
  <c r="B70" i="12"/>
  <c r="E70" i="12" s="1"/>
  <c r="F70" i="12" s="1"/>
  <c r="C70" i="12"/>
  <c r="D70" i="12"/>
  <c r="B71" i="12"/>
  <c r="C71" i="12"/>
  <c r="D71" i="12"/>
  <c r="B72" i="12"/>
  <c r="C72" i="12"/>
  <c r="D72" i="12"/>
  <c r="E72" i="12"/>
  <c r="F72" i="12" s="1"/>
  <c r="B73" i="12"/>
  <c r="C73" i="12"/>
  <c r="D73" i="12"/>
  <c r="B74" i="12"/>
  <c r="C74" i="12"/>
  <c r="D74" i="12"/>
  <c r="E74" i="12"/>
  <c r="B75" i="12"/>
  <c r="C75" i="12"/>
  <c r="D75" i="12"/>
  <c r="B76" i="12"/>
  <c r="C76" i="12"/>
  <c r="D76" i="12"/>
  <c r="B77" i="12"/>
  <c r="C77" i="12"/>
  <c r="D77" i="12"/>
  <c r="B78" i="12"/>
  <c r="C78" i="12"/>
  <c r="E78" i="12" s="1"/>
  <c r="F78" i="12" s="1"/>
  <c r="D78" i="12"/>
  <c r="B52" i="12"/>
  <c r="C52" i="12"/>
  <c r="D52" i="12"/>
  <c r="B79" i="12"/>
  <c r="C79" i="12"/>
  <c r="E79" i="12" s="1"/>
  <c r="F79" i="12" s="1"/>
  <c r="D79" i="12"/>
  <c r="B80" i="12"/>
  <c r="C80" i="12"/>
  <c r="D80" i="12"/>
  <c r="B81" i="12"/>
  <c r="C81" i="12"/>
  <c r="D81" i="12"/>
  <c r="B82" i="12"/>
  <c r="C82" i="12"/>
  <c r="D82" i="12"/>
  <c r="B83" i="12"/>
  <c r="C83" i="12"/>
  <c r="D83" i="12"/>
  <c r="B84" i="12"/>
  <c r="C84" i="12"/>
  <c r="D84" i="12"/>
  <c r="B85" i="12"/>
  <c r="C85" i="12"/>
  <c r="D85" i="12"/>
  <c r="E85" i="12"/>
  <c r="B86" i="12"/>
  <c r="C86" i="12"/>
  <c r="D86" i="12"/>
  <c r="B87" i="12"/>
  <c r="E87" i="12" s="1"/>
  <c r="C87" i="12"/>
  <c r="D87" i="12"/>
  <c r="B53" i="12"/>
  <c r="C53" i="12"/>
  <c r="D53" i="12"/>
  <c r="B88" i="12"/>
  <c r="E88" i="12" s="1"/>
  <c r="F88" i="12" s="1"/>
  <c r="C88" i="12"/>
  <c r="D88" i="12"/>
  <c r="B89" i="12"/>
  <c r="C89" i="12"/>
  <c r="D89" i="12"/>
  <c r="B90" i="12"/>
  <c r="C90" i="12"/>
  <c r="D90" i="12"/>
  <c r="B91" i="12"/>
  <c r="C91" i="12"/>
  <c r="D91" i="12"/>
  <c r="B92" i="12"/>
  <c r="C92" i="12"/>
  <c r="D92" i="12"/>
  <c r="B93" i="12"/>
  <c r="C93" i="12"/>
  <c r="D93" i="12"/>
  <c r="B94" i="12"/>
  <c r="C94" i="12"/>
  <c r="D94" i="12"/>
  <c r="B95" i="12"/>
  <c r="C95" i="12"/>
  <c r="D95" i="12"/>
  <c r="B96" i="12"/>
  <c r="E96" i="12" s="1"/>
  <c r="F96" i="12" s="1"/>
  <c r="C96" i="12"/>
  <c r="D96" i="12"/>
  <c r="B97" i="12"/>
  <c r="C97" i="12"/>
  <c r="D97" i="12"/>
  <c r="B98" i="12"/>
  <c r="C98" i="12"/>
  <c r="D98" i="12"/>
  <c r="B99" i="12"/>
  <c r="E99" i="12" s="1"/>
  <c r="C99" i="12"/>
  <c r="D99" i="12"/>
  <c r="B100" i="12"/>
  <c r="C100" i="12"/>
  <c r="D100" i="12"/>
  <c r="E100" i="12"/>
  <c r="B101" i="12"/>
  <c r="C101" i="12"/>
  <c r="D101" i="12"/>
  <c r="B102" i="12"/>
  <c r="C102" i="12"/>
  <c r="D102" i="12"/>
  <c r="E102" i="12"/>
  <c r="B103" i="12"/>
  <c r="C103" i="12"/>
  <c r="E103" i="12" s="1"/>
  <c r="F103" i="12" s="1"/>
  <c r="D103" i="12"/>
  <c r="B104" i="12"/>
  <c r="C104" i="12"/>
  <c r="D104" i="12"/>
  <c r="B105" i="12"/>
  <c r="C105" i="12"/>
  <c r="D105" i="12"/>
  <c r="B106" i="12"/>
  <c r="E106" i="12" s="1"/>
  <c r="F106" i="12" s="1"/>
  <c r="C106" i="12"/>
  <c r="D106" i="12"/>
  <c r="B107" i="12"/>
  <c r="C107" i="12"/>
  <c r="D107" i="12"/>
  <c r="B108" i="12"/>
  <c r="C108" i="12"/>
  <c r="D108" i="12"/>
  <c r="B109" i="12"/>
  <c r="C109" i="12"/>
  <c r="D109" i="12"/>
  <c r="B110" i="12"/>
  <c r="C110" i="12"/>
  <c r="D110" i="12"/>
  <c r="B111" i="12"/>
  <c r="E111" i="12" s="1"/>
  <c r="F111" i="12" s="1"/>
  <c r="C111" i="12"/>
  <c r="D111" i="12"/>
  <c r="B112" i="12"/>
  <c r="C112" i="12"/>
  <c r="D112" i="12"/>
  <c r="B113" i="12"/>
  <c r="C113" i="12"/>
  <c r="D113" i="12"/>
  <c r="B114" i="12"/>
  <c r="C114" i="12"/>
  <c r="D114" i="12"/>
  <c r="E114" i="12" s="1"/>
  <c r="F114" i="12" s="1"/>
  <c r="B115" i="12"/>
  <c r="C115" i="12"/>
  <c r="D115" i="12"/>
  <c r="B116" i="12"/>
  <c r="E116" i="12" s="1"/>
  <c r="C116" i="12"/>
  <c r="D116" i="12"/>
  <c r="B117" i="12"/>
  <c r="C117" i="12"/>
  <c r="D117" i="12"/>
  <c r="B118" i="12"/>
  <c r="C118" i="12"/>
  <c r="D118" i="12"/>
  <c r="B119" i="12"/>
  <c r="C119" i="12"/>
  <c r="D119" i="12"/>
  <c r="B120" i="12"/>
  <c r="C120" i="12"/>
  <c r="D120" i="12"/>
  <c r="B121" i="12"/>
  <c r="C121" i="12"/>
  <c r="D121" i="12"/>
  <c r="B122" i="12"/>
  <c r="C122" i="12"/>
  <c r="D122" i="12"/>
  <c r="B123" i="12"/>
  <c r="C123" i="12"/>
  <c r="D123" i="12"/>
  <c r="E123" i="12" s="1"/>
  <c r="B124" i="12"/>
  <c r="C124" i="12"/>
  <c r="D124" i="12"/>
  <c r="B125" i="12"/>
  <c r="C125" i="12"/>
  <c r="D125" i="12"/>
  <c r="B126" i="12"/>
  <c r="C126" i="12"/>
  <c r="D126" i="12"/>
  <c r="B127" i="12"/>
  <c r="C127" i="12"/>
  <c r="D127" i="12"/>
  <c r="B128" i="12"/>
  <c r="C128" i="12"/>
  <c r="D128" i="12"/>
  <c r="E128" i="12"/>
  <c r="F128" i="12" s="1"/>
  <c r="B129" i="12"/>
  <c r="C129" i="12"/>
  <c r="D129" i="12"/>
  <c r="B54" i="12"/>
  <c r="C54" i="12"/>
  <c r="D54" i="12"/>
  <c r="B130" i="12"/>
  <c r="C130" i="12"/>
  <c r="D130" i="12"/>
  <c r="B131" i="12"/>
  <c r="C131" i="12"/>
  <c r="D131" i="12"/>
  <c r="B132" i="12"/>
  <c r="C132" i="12"/>
  <c r="D132" i="12"/>
  <c r="B133" i="12"/>
  <c r="C133" i="12"/>
  <c r="D133" i="12"/>
  <c r="B134" i="12"/>
  <c r="C134" i="12"/>
  <c r="D134" i="12"/>
  <c r="E134" i="12"/>
  <c r="F134" i="12" s="1"/>
  <c r="G134" i="12" s="1"/>
  <c r="B135" i="12"/>
  <c r="C135" i="12"/>
  <c r="D135" i="12"/>
  <c r="B136" i="12"/>
  <c r="C136" i="12"/>
  <c r="D136" i="12"/>
  <c r="B137" i="12"/>
  <c r="C137" i="12"/>
  <c r="D137" i="12"/>
  <c r="B138" i="12"/>
  <c r="C138" i="12"/>
  <c r="D138" i="12"/>
  <c r="B139" i="12"/>
  <c r="C139" i="12"/>
  <c r="D139" i="12"/>
  <c r="B140" i="12"/>
  <c r="C140" i="12"/>
  <c r="D140" i="12"/>
  <c r="B141" i="12"/>
  <c r="C141" i="12"/>
  <c r="D141" i="12"/>
  <c r="B142" i="12"/>
  <c r="C142" i="12"/>
  <c r="D142" i="12"/>
  <c r="B143" i="12"/>
  <c r="C143" i="12"/>
  <c r="D143" i="12"/>
  <c r="B144" i="12"/>
  <c r="C144" i="12"/>
  <c r="D144" i="12"/>
  <c r="B145" i="12"/>
  <c r="C145" i="12"/>
  <c r="D145" i="12"/>
  <c r="B146" i="12"/>
  <c r="E146" i="12" s="1"/>
  <c r="F146" i="12" s="1"/>
  <c r="G146" i="12" s="1"/>
  <c r="C146" i="12"/>
  <c r="D146" i="12"/>
  <c r="B147" i="12"/>
  <c r="C147" i="12"/>
  <c r="D147" i="12"/>
  <c r="B148" i="12"/>
  <c r="C148" i="12"/>
  <c r="D148" i="12"/>
  <c r="B3" i="11"/>
  <c r="C3" i="11"/>
  <c r="D3" i="11"/>
  <c r="B6" i="11"/>
  <c r="C6" i="11"/>
  <c r="D6" i="11"/>
  <c r="B4" i="11"/>
  <c r="E4" i="11" s="1"/>
  <c r="C4" i="11"/>
  <c r="D4" i="11"/>
  <c r="B5" i="11"/>
  <c r="C5" i="11"/>
  <c r="D5" i="11"/>
  <c r="B7" i="11"/>
  <c r="C7" i="11"/>
  <c r="D7" i="11"/>
  <c r="B15" i="11"/>
  <c r="C15" i="11"/>
  <c r="D15" i="11"/>
  <c r="B8" i="11"/>
  <c r="C8" i="11"/>
  <c r="D8" i="11"/>
  <c r="B9" i="11"/>
  <c r="C9" i="11"/>
  <c r="D9" i="11"/>
  <c r="B30" i="11"/>
  <c r="C30" i="11"/>
  <c r="D30" i="11"/>
  <c r="B16" i="11"/>
  <c r="C16" i="11"/>
  <c r="D16" i="11"/>
  <c r="B31" i="11"/>
  <c r="C31" i="11"/>
  <c r="D31" i="11"/>
  <c r="B26" i="11"/>
  <c r="E26" i="11" s="1"/>
  <c r="F26" i="11" s="1"/>
  <c r="C26" i="11"/>
  <c r="D26" i="11"/>
  <c r="B10" i="11"/>
  <c r="C10" i="11"/>
  <c r="D10" i="11"/>
  <c r="B17" i="11"/>
  <c r="C17" i="11"/>
  <c r="D17" i="11"/>
  <c r="B18" i="11"/>
  <c r="C18" i="11"/>
  <c r="D18" i="11"/>
  <c r="B19" i="11"/>
  <c r="C19" i="11"/>
  <c r="D19" i="11"/>
  <c r="B11" i="11"/>
  <c r="C11" i="11"/>
  <c r="D11" i="11"/>
  <c r="B20" i="11"/>
  <c r="C20" i="11"/>
  <c r="D20" i="11"/>
  <c r="B12" i="11"/>
  <c r="E12" i="11" s="1"/>
  <c r="C12" i="11"/>
  <c r="D12" i="11"/>
  <c r="B27" i="11"/>
  <c r="C27" i="11"/>
  <c r="D27" i="11"/>
  <c r="B28" i="11"/>
  <c r="E28" i="11" s="1"/>
  <c r="C28" i="11"/>
  <c r="D28" i="11"/>
  <c r="B21" i="11"/>
  <c r="C21" i="11"/>
  <c r="D21" i="11"/>
  <c r="B13" i="11"/>
  <c r="C13" i="11"/>
  <c r="D13" i="11"/>
  <c r="B22" i="11"/>
  <c r="C22" i="11"/>
  <c r="D22" i="11"/>
  <c r="B23" i="11"/>
  <c r="C23" i="11"/>
  <c r="D23" i="11"/>
  <c r="B32" i="11"/>
  <c r="C32" i="11"/>
  <c r="D32" i="11"/>
  <c r="B33" i="11"/>
  <c r="C33" i="11"/>
  <c r="D33" i="11"/>
  <c r="B14" i="11"/>
  <c r="C14" i="11"/>
  <c r="D14" i="11"/>
  <c r="B24" i="11"/>
  <c r="C24" i="11"/>
  <c r="D24" i="11"/>
  <c r="B34" i="11"/>
  <c r="C34" i="11"/>
  <c r="D34" i="11"/>
  <c r="B25" i="11"/>
  <c r="C25" i="11"/>
  <c r="D25" i="11"/>
  <c r="B35" i="11"/>
  <c r="C35" i="11"/>
  <c r="D35" i="11"/>
  <c r="B36" i="11"/>
  <c r="C36" i="11"/>
  <c r="D36" i="11"/>
  <c r="B37" i="11"/>
  <c r="C37" i="11"/>
  <c r="D37" i="11"/>
  <c r="B38" i="11"/>
  <c r="C38" i="11"/>
  <c r="D38" i="11"/>
  <c r="B39" i="11"/>
  <c r="C39" i="11"/>
  <c r="D39" i="11"/>
  <c r="B40" i="11"/>
  <c r="E40" i="11" s="1"/>
  <c r="F40" i="11" s="1"/>
  <c r="C40" i="11"/>
  <c r="D40" i="11"/>
  <c r="B29" i="11"/>
  <c r="C29" i="11"/>
  <c r="D29" i="11"/>
  <c r="B46" i="11"/>
  <c r="C46" i="11"/>
  <c r="D46" i="11"/>
  <c r="B47" i="11"/>
  <c r="C47" i="11"/>
  <c r="D47" i="11"/>
  <c r="B48" i="11"/>
  <c r="C48" i="11"/>
  <c r="D48" i="11"/>
  <c r="B49" i="11"/>
  <c r="C49" i="11"/>
  <c r="D49" i="11"/>
  <c r="B50" i="11"/>
  <c r="C50" i="11"/>
  <c r="D50" i="11"/>
  <c r="B51" i="11"/>
  <c r="C51" i="11"/>
  <c r="D51" i="11"/>
  <c r="B52" i="11"/>
  <c r="C52" i="11"/>
  <c r="D52" i="11"/>
  <c r="B53" i="11"/>
  <c r="C53" i="11"/>
  <c r="D53" i="11"/>
  <c r="B54" i="11"/>
  <c r="C54" i="11"/>
  <c r="D54" i="11"/>
  <c r="B55" i="11"/>
  <c r="C55" i="11"/>
  <c r="D55" i="11"/>
  <c r="B56" i="11"/>
  <c r="C56" i="11"/>
  <c r="D56" i="11"/>
  <c r="B57" i="11"/>
  <c r="C57" i="11"/>
  <c r="D57" i="11"/>
  <c r="B58" i="11"/>
  <c r="C58" i="11"/>
  <c r="D58" i="11"/>
  <c r="B59" i="11"/>
  <c r="C59" i="11"/>
  <c r="D59" i="11"/>
  <c r="B41" i="11"/>
  <c r="C41" i="11"/>
  <c r="D41" i="11"/>
  <c r="B60" i="11"/>
  <c r="C60" i="11"/>
  <c r="D60" i="11"/>
  <c r="B61" i="11"/>
  <c r="C61" i="11"/>
  <c r="E61" i="11" s="1"/>
  <c r="D61" i="11"/>
  <c r="B62" i="11"/>
  <c r="C62" i="11"/>
  <c r="D62" i="11"/>
  <c r="B63" i="11"/>
  <c r="C63" i="11"/>
  <c r="D63" i="11"/>
  <c r="B42" i="11"/>
  <c r="C42" i="11"/>
  <c r="D42" i="11"/>
  <c r="B64" i="11"/>
  <c r="C64" i="11"/>
  <c r="D64" i="11"/>
  <c r="B65" i="11"/>
  <c r="C65" i="11"/>
  <c r="D65" i="11"/>
  <c r="B66" i="11"/>
  <c r="C66" i="11"/>
  <c r="D66" i="11"/>
  <c r="B67" i="11"/>
  <c r="C67" i="11"/>
  <c r="D67" i="11"/>
  <c r="B68" i="11"/>
  <c r="C68" i="11"/>
  <c r="D68" i="11"/>
  <c r="B69" i="11"/>
  <c r="C69" i="11"/>
  <c r="D69" i="11"/>
  <c r="B70" i="11"/>
  <c r="C70" i="11"/>
  <c r="D70" i="11"/>
  <c r="B71" i="11"/>
  <c r="C71" i="11"/>
  <c r="D71" i="11"/>
  <c r="B72" i="11"/>
  <c r="C72" i="11"/>
  <c r="D72" i="11"/>
  <c r="B73" i="11"/>
  <c r="C73" i="11"/>
  <c r="D73" i="11"/>
  <c r="B74" i="11"/>
  <c r="C74" i="11"/>
  <c r="D74" i="11"/>
  <c r="B75" i="11"/>
  <c r="C75" i="11"/>
  <c r="D75" i="11"/>
  <c r="B76" i="11"/>
  <c r="C76" i="11"/>
  <c r="D76" i="11"/>
  <c r="B77" i="11"/>
  <c r="C77" i="11"/>
  <c r="D77" i="11"/>
  <c r="B78" i="11"/>
  <c r="C78" i="11"/>
  <c r="D78" i="11"/>
  <c r="E78" i="11" s="1"/>
  <c r="F78" i="11" s="1"/>
  <c r="B79" i="11"/>
  <c r="C79" i="11"/>
  <c r="D79" i="11"/>
  <c r="B80" i="11"/>
  <c r="C80" i="11"/>
  <c r="D80" i="11"/>
  <c r="B81" i="11"/>
  <c r="C81" i="11"/>
  <c r="D81" i="11"/>
  <c r="B82" i="11"/>
  <c r="C82" i="11"/>
  <c r="D82" i="11"/>
  <c r="B83" i="11"/>
  <c r="C83" i="11"/>
  <c r="D83" i="11"/>
  <c r="B84" i="11"/>
  <c r="C84" i="11"/>
  <c r="D84" i="11"/>
  <c r="B85" i="11"/>
  <c r="C85" i="11"/>
  <c r="D85" i="11"/>
  <c r="B86" i="11"/>
  <c r="C86" i="11"/>
  <c r="D86" i="11"/>
  <c r="B87" i="11"/>
  <c r="C87" i="11"/>
  <c r="D87" i="11"/>
  <c r="B88" i="11"/>
  <c r="C88" i="11"/>
  <c r="D88" i="11"/>
  <c r="B89" i="11"/>
  <c r="C89" i="11"/>
  <c r="D89" i="11"/>
  <c r="B90" i="11"/>
  <c r="C90" i="11"/>
  <c r="D90" i="11"/>
  <c r="B91" i="11"/>
  <c r="C91" i="11"/>
  <c r="D91" i="11"/>
  <c r="B92" i="11"/>
  <c r="C92" i="11"/>
  <c r="E92" i="11" s="1"/>
  <c r="D92" i="11"/>
  <c r="B93" i="11"/>
  <c r="C93" i="11"/>
  <c r="D93" i="11"/>
  <c r="B94" i="11"/>
  <c r="C94" i="11"/>
  <c r="D94" i="11"/>
  <c r="B95" i="11"/>
  <c r="C95" i="11"/>
  <c r="D95" i="11"/>
  <c r="B96" i="11"/>
  <c r="C96" i="11"/>
  <c r="D96" i="11"/>
  <c r="B97" i="11"/>
  <c r="C97" i="11"/>
  <c r="D97" i="11"/>
  <c r="B98" i="11"/>
  <c r="C98" i="11"/>
  <c r="D98" i="11"/>
  <c r="B99" i="11"/>
  <c r="C99" i="11"/>
  <c r="D99" i="11"/>
  <c r="B100" i="11"/>
  <c r="C100" i="11"/>
  <c r="D100" i="11"/>
  <c r="B101" i="11"/>
  <c r="C101" i="11"/>
  <c r="D101" i="11"/>
  <c r="B102" i="11"/>
  <c r="C102" i="11"/>
  <c r="D102" i="11"/>
  <c r="B43" i="11"/>
  <c r="C43" i="11"/>
  <c r="D43" i="11"/>
  <c r="B103" i="11"/>
  <c r="C103" i="11"/>
  <c r="D103" i="11"/>
  <c r="B104" i="11"/>
  <c r="C104" i="11"/>
  <c r="D104" i="11"/>
  <c r="B105" i="11"/>
  <c r="E105" i="11" s="1"/>
  <c r="F105" i="11" s="1"/>
  <c r="C105" i="11"/>
  <c r="D105" i="11"/>
  <c r="B106" i="11"/>
  <c r="C106" i="11"/>
  <c r="D106" i="11"/>
  <c r="B107" i="11"/>
  <c r="C107" i="11"/>
  <c r="D107" i="11"/>
  <c r="B108" i="11"/>
  <c r="C108" i="11"/>
  <c r="D108" i="11"/>
  <c r="B109" i="11"/>
  <c r="C109" i="11"/>
  <c r="D109" i="11"/>
  <c r="B110" i="11"/>
  <c r="C110" i="11"/>
  <c r="D110" i="11"/>
  <c r="B111" i="11"/>
  <c r="C111" i="11"/>
  <c r="D111" i="11"/>
  <c r="B112" i="11"/>
  <c r="C112" i="11"/>
  <c r="D112" i="11"/>
  <c r="B113" i="11"/>
  <c r="C113" i="11"/>
  <c r="D113" i="11"/>
  <c r="B114" i="11"/>
  <c r="C114" i="11"/>
  <c r="D114" i="11"/>
  <c r="B44" i="11"/>
  <c r="C44" i="11"/>
  <c r="D44" i="11"/>
  <c r="B115" i="11"/>
  <c r="C115" i="11"/>
  <c r="D115" i="11"/>
  <c r="B116" i="11"/>
  <c r="C116" i="11"/>
  <c r="D116" i="11"/>
  <c r="B117" i="11"/>
  <c r="C117" i="11"/>
  <c r="D117" i="11"/>
  <c r="B118" i="11"/>
  <c r="C118" i="11"/>
  <c r="D118" i="11"/>
  <c r="B119" i="11"/>
  <c r="C119" i="11"/>
  <c r="D119" i="11"/>
  <c r="B120" i="11"/>
  <c r="C120" i="11"/>
  <c r="D120" i="11"/>
  <c r="B121" i="11"/>
  <c r="C121" i="11"/>
  <c r="D121" i="11"/>
  <c r="B122" i="11"/>
  <c r="C122" i="11"/>
  <c r="D122" i="11"/>
  <c r="B123" i="11"/>
  <c r="C123" i="11"/>
  <c r="D123" i="11"/>
  <c r="B124" i="11"/>
  <c r="C124" i="11"/>
  <c r="D124" i="11"/>
  <c r="B125" i="11"/>
  <c r="C125" i="11"/>
  <c r="D125" i="11"/>
  <c r="B126" i="11"/>
  <c r="C126" i="11"/>
  <c r="D126" i="11"/>
  <c r="B127" i="11"/>
  <c r="C127" i="11"/>
  <c r="D127" i="11"/>
  <c r="B128" i="11"/>
  <c r="C128" i="11"/>
  <c r="D128" i="11"/>
  <c r="B129" i="11"/>
  <c r="C129" i="11"/>
  <c r="D129" i="11"/>
  <c r="B130" i="11"/>
  <c r="C130" i="11"/>
  <c r="D130" i="11"/>
  <c r="B131" i="11"/>
  <c r="C131" i="11"/>
  <c r="D131" i="11"/>
  <c r="B132" i="11"/>
  <c r="C132" i="11"/>
  <c r="D132" i="11"/>
  <c r="B133" i="11"/>
  <c r="C133" i="11"/>
  <c r="D133" i="11"/>
  <c r="B134" i="11"/>
  <c r="C134" i="11"/>
  <c r="D134" i="11"/>
  <c r="B45" i="11"/>
  <c r="C45" i="11"/>
  <c r="D45" i="11"/>
  <c r="B135" i="11"/>
  <c r="C135" i="11"/>
  <c r="D135" i="11"/>
  <c r="B136" i="11"/>
  <c r="C136" i="11"/>
  <c r="D136" i="11"/>
  <c r="B137" i="11"/>
  <c r="C137" i="11"/>
  <c r="D137" i="11"/>
  <c r="E137" i="11" s="1"/>
  <c r="F137" i="11" s="1"/>
  <c r="B138" i="11"/>
  <c r="C138" i="11"/>
  <c r="D138" i="11"/>
  <c r="B139" i="11"/>
  <c r="C139" i="11"/>
  <c r="D139" i="11"/>
  <c r="B140" i="11"/>
  <c r="C140" i="11"/>
  <c r="D140" i="11"/>
  <c r="B141" i="11"/>
  <c r="C141" i="11"/>
  <c r="D141" i="11"/>
  <c r="B142" i="11"/>
  <c r="C142" i="11"/>
  <c r="D142" i="11"/>
  <c r="B143" i="11"/>
  <c r="C143" i="11"/>
  <c r="D143" i="11"/>
  <c r="B144" i="11"/>
  <c r="C144" i="11"/>
  <c r="D144" i="11"/>
  <c r="B145" i="11"/>
  <c r="C145" i="11"/>
  <c r="D145" i="11"/>
  <c r="B146" i="11"/>
  <c r="C146" i="11"/>
  <c r="D146" i="11"/>
  <c r="B147" i="11"/>
  <c r="C147" i="11"/>
  <c r="D147" i="11"/>
  <c r="B148" i="11"/>
  <c r="C148" i="11"/>
  <c r="D148" i="11"/>
  <c r="F12" i="11" l="1"/>
  <c r="G12" i="11" s="1"/>
  <c r="F28" i="11"/>
  <c r="G28" i="11" s="1"/>
  <c r="G61" i="11"/>
  <c r="E90" i="11"/>
  <c r="E52" i="11"/>
  <c r="G92" i="11"/>
  <c r="E25" i="11"/>
  <c r="F25" i="11" s="1"/>
  <c r="E13" i="11"/>
  <c r="E141" i="11"/>
  <c r="E111" i="11"/>
  <c r="F111" i="11" s="1"/>
  <c r="G111" i="11" s="1"/>
  <c r="E102" i="11"/>
  <c r="E56" i="11"/>
  <c r="F56" i="11" s="1"/>
  <c r="G78" i="11"/>
  <c r="E10" i="11"/>
  <c r="F10" i="11" s="1"/>
  <c r="G10" i="11" s="1"/>
  <c r="E136" i="11"/>
  <c r="F136" i="11" s="1"/>
  <c r="G136" i="11" s="1"/>
  <c r="F61" i="11"/>
  <c r="F92" i="11"/>
  <c r="F4" i="11"/>
  <c r="G4" i="11" s="1"/>
  <c r="E85" i="11"/>
  <c r="F85" i="11" s="1"/>
  <c r="E41" i="11"/>
  <c r="F41" i="11" s="1"/>
  <c r="G41" i="11" s="1"/>
  <c r="E30" i="11"/>
  <c r="F30" i="11" s="1"/>
  <c r="G30" i="11" s="1"/>
  <c r="E3" i="11"/>
  <c r="G137" i="11"/>
  <c r="G40" i="11"/>
  <c r="G26" i="11"/>
  <c r="G25" i="11"/>
  <c r="G56" i="11"/>
  <c r="G105" i="11"/>
  <c r="G85" i="11"/>
  <c r="E139" i="11"/>
  <c r="E82" i="11"/>
  <c r="E74" i="11"/>
  <c r="E48" i="11"/>
  <c r="E23" i="11"/>
  <c r="E7" i="11"/>
  <c r="E144" i="11"/>
  <c r="E132" i="11"/>
  <c r="E109" i="11"/>
  <c r="E36" i="11"/>
  <c r="E134" i="11"/>
  <c r="E38" i="11"/>
  <c r="E143" i="11"/>
  <c r="E86" i="11"/>
  <c r="E70" i="11"/>
  <c r="E35" i="11"/>
  <c r="E17" i="11"/>
  <c r="E126" i="11"/>
  <c r="E81" i="11"/>
  <c r="E11" i="11"/>
  <c r="E44" i="11"/>
  <c r="E113" i="11"/>
  <c r="E107" i="11"/>
  <c r="E24" i="11"/>
  <c r="E31" i="11"/>
  <c r="E118" i="11"/>
  <c r="E133" i="11"/>
  <c r="E125" i="11"/>
  <c r="E80" i="11"/>
  <c r="E72" i="11"/>
  <c r="F39" i="12"/>
  <c r="G39" i="12" s="1"/>
  <c r="G24" i="12"/>
  <c r="F24" i="12"/>
  <c r="F87" i="12"/>
  <c r="G87" i="12" s="1"/>
  <c r="F22" i="12"/>
  <c r="G22" i="12" s="1"/>
  <c r="F116" i="12"/>
  <c r="G116" i="12" s="1"/>
  <c r="G43" i="12"/>
  <c r="F43" i="12"/>
  <c r="F51" i="12"/>
  <c r="G51" i="12" s="1"/>
  <c r="F3" i="12"/>
  <c r="G3" i="12" s="1"/>
  <c r="E126" i="12"/>
  <c r="F126" i="12" s="1"/>
  <c r="E48" i="12"/>
  <c r="F48" i="12" s="1"/>
  <c r="E84" i="12"/>
  <c r="G123" i="12"/>
  <c r="E137" i="12"/>
  <c r="E81" i="12"/>
  <c r="G56" i="12"/>
  <c r="E142" i="12"/>
  <c r="E110" i="12"/>
  <c r="E45" i="12"/>
  <c r="E36" i="12"/>
  <c r="G15" i="12"/>
  <c r="F102" i="12"/>
  <c r="G102" i="12" s="1"/>
  <c r="E108" i="12"/>
  <c r="E120" i="12"/>
  <c r="E92" i="12"/>
  <c r="G64" i="12"/>
  <c r="E139" i="12"/>
  <c r="E122" i="12"/>
  <c r="F122" i="12" s="1"/>
  <c r="E69" i="12"/>
  <c r="F85" i="12"/>
  <c r="G85" i="12" s="1"/>
  <c r="G5" i="12"/>
  <c r="E130" i="12"/>
  <c r="F130" i="12" s="1"/>
  <c r="E62" i="12"/>
  <c r="F62" i="12" s="1"/>
  <c r="G62" i="12" s="1"/>
  <c r="E31" i="12"/>
  <c r="G7" i="12"/>
  <c r="E94" i="12"/>
  <c r="G78" i="12"/>
  <c r="E66" i="12"/>
  <c r="F66" i="12" s="1"/>
  <c r="G66" i="12" s="1"/>
  <c r="G46" i="12"/>
  <c r="F100" i="12"/>
  <c r="G100" i="12" s="1"/>
  <c r="F123" i="12"/>
  <c r="F99" i="12"/>
  <c r="G99" i="12" s="1"/>
  <c r="G114" i="12"/>
  <c r="G58" i="12"/>
  <c r="G122" i="12"/>
  <c r="G41" i="12"/>
  <c r="G70" i="12"/>
  <c r="G111" i="12"/>
  <c r="G88" i="12"/>
  <c r="G128" i="12"/>
  <c r="G106" i="12"/>
  <c r="G103" i="12"/>
  <c r="G96" i="12"/>
  <c r="G79" i="12"/>
  <c r="G72" i="12"/>
  <c r="G50" i="12"/>
  <c r="G17" i="12"/>
  <c r="G25" i="12"/>
  <c r="G130" i="12"/>
  <c r="G126" i="12"/>
  <c r="G74" i="12"/>
  <c r="G48" i="12"/>
  <c r="E119" i="12"/>
  <c r="E83" i="12"/>
  <c r="E77" i="12"/>
  <c r="E21" i="12"/>
  <c r="E107" i="12"/>
  <c r="E118" i="12"/>
  <c r="E98" i="12"/>
  <c r="E68" i="12"/>
  <c r="E91" i="12"/>
  <c r="E143" i="12"/>
  <c r="E131" i="12"/>
  <c r="E127" i="12"/>
  <c r="E109" i="12"/>
  <c r="E90" i="12"/>
  <c r="E76" i="12"/>
  <c r="E60" i="12"/>
  <c r="E44" i="12"/>
  <c r="E33" i="12"/>
  <c r="E8" i="12"/>
  <c r="E30" i="12"/>
  <c r="E38" i="12"/>
  <c r="E11" i="12"/>
  <c r="E28" i="12"/>
  <c r="E18" i="12"/>
  <c r="E14" i="12"/>
  <c r="E61" i="12"/>
  <c r="E34" i="12"/>
  <c r="E133" i="12"/>
  <c r="G84" i="13"/>
  <c r="F84" i="13"/>
  <c r="F24" i="13"/>
  <c r="G24" i="13" s="1"/>
  <c r="G107" i="13"/>
  <c r="F107" i="13"/>
  <c r="G125" i="13"/>
  <c r="G113" i="13"/>
  <c r="G14" i="13"/>
  <c r="E21" i="13"/>
  <c r="F21" i="13" s="1"/>
  <c r="G21" i="13" s="1"/>
  <c r="E126" i="13"/>
  <c r="E110" i="13"/>
  <c r="E31" i="13"/>
  <c r="E38" i="13"/>
  <c r="F113" i="13"/>
  <c r="E88" i="13"/>
  <c r="F88" i="13" s="1"/>
  <c r="G88" i="13" s="1"/>
  <c r="G30" i="13"/>
  <c r="E139" i="13"/>
  <c r="E132" i="13"/>
  <c r="E90" i="13"/>
  <c r="F90" i="13" s="1"/>
  <c r="G90" i="13" s="1"/>
  <c r="E80" i="13"/>
  <c r="F80" i="13" s="1"/>
  <c r="G80" i="13" s="1"/>
  <c r="F30" i="13"/>
  <c r="F14" i="13"/>
  <c r="E93" i="13"/>
  <c r="E83" i="13"/>
  <c r="F125" i="13"/>
  <c r="E99" i="13"/>
  <c r="E77" i="13"/>
  <c r="E12" i="13"/>
  <c r="F12" i="13" s="1"/>
  <c r="E17" i="13"/>
  <c r="F17" i="13" s="1"/>
  <c r="E104" i="13"/>
  <c r="F104" i="13" s="1"/>
  <c r="E43" i="13"/>
  <c r="G12" i="13"/>
  <c r="G17" i="13"/>
  <c r="G114" i="13"/>
  <c r="G57" i="13"/>
  <c r="G89" i="13"/>
  <c r="G104" i="13"/>
  <c r="G7" i="13"/>
  <c r="E128" i="13"/>
  <c r="E60" i="13"/>
  <c r="E121" i="13"/>
  <c r="E94" i="13"/>
  <c r="E98" i="13"/>
  <c r="E19" i="13"/>
  <c r="E3" i="13"/>
  <c r="E119" i="13"/>
  <c r="E105" i="13"/>
  <c r="E95" i="13"/>
  <c r="E51" i="13"/>
  <c r="E92" i="13"/>
  <c r="E65" i="13"/>
  <c r="E140" i="13"/>
  <c r="E137" i="13"/>
  <c r="E131" i="13"/>
  <c r="E64" i="13"/>
  <c r="E138" i="13"/>
  <c r="E142" i="13"/>
  <c r="E135" i="13"/>
  <c r="E108" i="13"/>
  <c r="E106" i="13"/>
  <c r="E78" i="13"/>
  <c r="E69" i="13"/>
  <c r="E56" i="13"/>
  <c r="E36" i="13"/>
  <c r="E4" i="13"/>
  <c r="E103" i="13"/>
  <c r="E44" i="13"/>
  <c r="E52" i="13"/>
  <c r="E20" i="13"/>
  <c r="F27" i="14"/>
  <c r="G27" i="14" s="1"/>
  <c r="F5" i="14"/>
  <c r="G5" i="14" s="1"/>
  <c r="G24" i="14"/>
  <c r="F24" i="14"/>
  <c r="F4" i="14"/>
  <c r="G4" i="14" s="1"/>
  <c r="F136" i="14"/>
  <c r="G136" i="14" s="1"/>
  <c r="G49" i="14"/>
  <c r="E46" i="14"/>
  <c r="E29" i="14"/>
  <c r="F49" i="14"/>
  <c r="F33" i="14"/>
  <c r="G33" i="14" s="1"/>
  <c r="E69" i="14"/>
  <c r="F69" i="14" s="1"/>
  <c r="E97" i="14"/>
  <c r="E3" i="14"/>
  <c r="G61" i="14"/>
  <c r="E120" i="14"/>
  <c r="E105" i="14"/>
  <c r="E117" i="14"/>
  <c r="E102" i="14"/>
  <c r="F102" i="14" s="1"/>
  <c r="E23" i="14"/>
  <c r="F23" i="14" s="1"/>
  <c r="E26" i="14"/>
  <c r="F26" i="14" s="1"/>
  <c r="E112" i="14"/>
  <c r="G65" i="14"/>
  <c r="E125" i="14"/>
  <c r="F11" i="14"/>
  <c r="G11" i="14" s="1"/>
  <c r="G38" i="14"/>
  <c r="G133" i="14"/>
  <c r="G69" i="14"/>
  <c r="G102" i="14"/>
  <c r="G23" i="14"/>
  <c r="G26" i="14"/>
  <c r="E73" i="14"/>
  <c r="E36" i="14"/>
  <c r="E121" i="14"/>
  <c r="E70" i="14"/>
  <c r="E58" i="14"/>
  <c r="E20" i="14"/>
  <c r="E17" i="14"/>
  <c r="E81" i="14"/>
  <c r="E86" i="14"/>
  <c r="E6" i="14"/>
  <c r="E16" i="14"/>
  <c r="E141" i="14"/>
  <c r="E128" i="14"/>
  <c r="E56" i="14"/>
  <c r="E9" i="14"/>
  <c r="E12" i="14"/>
  <c r="E89" i="14"/>
  <c r="E116" i="14"/>
  <c r="E8" i="14"/>
  <c r="E30" i="14"/>
  <c r="E14" i="14"/>
  <c r="E52" i="14"/>
  <c r="E25" i="14"/>
  <c r="E15" i="14"/>
  <c r="E94" i="14"/>
  <c r="E109" i="14"/>
  <c r="E43" i="14"/>
  <c r="E110" i="14"/>
  <c r="E32" i="14"/>
  <c r="E13" i="14"/>
  <c r="E113" i="14"/>
  <c r="E101" i="14"/>
  <c r="E124" i="14"/>
  <c r="E98" i="14"/>
  <c r="E92" i="14"/>
  <c r="E77" i="14"/>
  <c r="E66" i="14"/>
  <c r="E50" i="14"/>
  <c r="E39" i="14"/>
  <c r="E106" i="14"/>
  <c r="E59" i="14"/>
  <c r="E22" i="14"/>
  <c r="E7" i="14"/>
  <c r="E21" i="14"/>
  <c r="E132" i="14"/>
  <c r="E55" i="14"/>
  <c r="E34" i="14"/>
  <c r="E18" i="14"/>
  <c r="E31" i="14"/>
  <c r="E28" i="14"/>
  <c r="E10" i="14"/>
  <c r="E129" i="14"/>
  <c r="E93" i="14"/>
  <c r="E82" i="14"/>
  <c r="E76" i="14"/>
  <c r="E62" i="14"/>
  <c r="E57" i="14"/>
  <c r="E42" i="14"/>
  <c r="E100" i="14"/>
  <c r="E85" i="14"/>
  <c r="E74" i="14"/>
  <c r="E68" i="14"/>
  <c r="E41" i="14"/>
  <c r="E140" i="14"/>
  <c r="E90" i="14"/>
  <c r="E84" i="14"/>
  <c r="E137" i="14"/>
  <c r="E64" i="14"/>
  <c r="E48" i="14"/>
  <c r="E60" i="14"/>
  <c r="E135" i="14"/>
  <c r="E127" i="14"/>
  <c r="E104" i="14"/>
  <c r="E88" i="14"/>
  <c r="E138" i="14"/>
  <c r="E99" i="14"/>
  <c r="E54" i="14"/>
  <c r="E63" i="14"/>
  <c r="E51" i="14"/>
  <c r="E111" i="14"/>
  <c r="E96" i="14"/>
  <c r="E80" i="14"/>
  <c r="E67" i="14"/>
  <c r="E44" i="14"/>
  <c r="E47" i="14"/>
  <c r="E72" i="14"/>
  <c r="E40" i="14"/>
  <c r="E130" i="14"/>
  <c r="E114" i="14"/>
  <c r="E83" i="14"/>
  <c r="E115" i="14"/>
  <c r="E108" i="14"/>
  <c r="E119" i="14"/>
  <c r="E37" i="14"/>
  <c r="E122" i="14"/>
  <c r="E107" i="14"/>
  <c r="E91" i="14"/>
  <c r="E75" i="14"/>
  <c r="E139" i="14"/>
  <c r="E131" i="14"/>
  <c r="E123" i="14"/>
  <c r="E142" i="14"/>
  <c r="E134" i="14"/>
  <c r="E126" i="14"/>
  <c r="E118" i="14"/>
  <c r="E45" i="14"/>
  <c r="E103" i="14"/>
  <c r="E95" i="14"/>
  <c r="E87" i="14"/>
  <c r="E79" i="14"/>
  <c r="E71" i="14"/>
  <c r="E53" i="14"/>
  <c r="E35" i="14"/>
  <c r="E19" i="14"/>
  <c r="E144" i="13"/>
  <c r="E133" i="13"/>
  <c r="E115" i="13"/>
  <c r="E100" i="13"/>
  <c r="E85" i="13"/>
  <c r="E76" i="13"/>
  <c r="E39" i="13"/>
  <c r="E48" i="13"/>
  <c r="E47" i="13"/>
  <c r="E25" i="13"/>
  <c r="E23" i="13"/>
  <c r="E5" i="13"/>
  <c r="E9" i="13"/>
  <c r="E8" i="13"/>
  <c r="E129" i="13"/>
  <c r="E61" i="13"/>
  <c r="E16" i="13"/>
  <c r="E35" i="13"/>
  <c r="E34" i="13"/>
  <c r="E117" i="13"/>
  <c r="E50" i="13"/>
  <c r="E18" i="13"/>
  <c r="E122" i="13"/>
  <c r="E74" i="13"/>
  <c r="E124" i="13"/>
  <c r="E111" i="13"/>
  <c r="E96" i="13"/>
  <c r="E81" i="13"/>
  <c r="E10" i="13"/>
  <c r="E42" i="13"/>
  <c r="E41" i="13"/>
  <c r="E130" i="13"/>
  <c r="E72" i="13"/>
  <c r="E118" i="13"/>
  <c r="E75" i="13"/>
  <c r="E68" i="13"/>
  <c r="E63" i="13"/>
  <c r="E54" i="13"/>
  <c r="E45" i="13"/>
  <c r="E37" i="13"/>
  <c r="E6" i="13"/>
  <c r="E22" i="13"/>
  <c r="E33" i="13"/>
  <c r="E32" i="13"/>
  <c r="E109" i="13"/>
  <c r="E71" i="13"/>
  <c r="E58" i="13"/>
  <c r="E127" i="13"/>
  <c r="E143" i="13"/>
  <c r="E40" i="13"/>
  <c r="E123" i="13"/>
  <c r="E59" i="13"/>
  <c r="E91" i="13"/>
  <c r="E70" i="13"/>
  <c r="E112" i="13"/>
  <c r="E97" i="13"/>
  <c r="E82" i="13"/>
  <c r="E62" i="13"/>
  <c r="E79" i="13"/>
  <c r="E141" i="13"/>
  <c r="E116" i="13"/>
  <c r="E101" i="13"/>
  <c r="E86" i="13"/>
  <c r="E66" i="13"/>
  <c r="E55" i="13"/>
  <c r="E53" i="13"/>
  <c r="E49" i="13"/>
  <c r="E46" i="13"/>
  <c r="E29" i="13"/>
  <c r="E28" i="13"/>
  <c r="E26" i="13"/>
  <c r="E15" i="13"/>
  <c r="E13" i="13"/>
  <c r="E11" i="13"/>
  <c r="E136" i="13"/>
  <c r="E102" i="13"/>
  <c r="E87" i="13"/>
  <c r="E67" i="13"/>
  <c r="E134" i="13"/>
  <c r="E120" i="13"/>
  <c r="E147" i="12"/>
  <c r="E135" i="12"/>
  <c r="E115" i="12"/>
  <c r="E95" i="12"/>
  <c r="E53" i="12"/>
  <c r="E80" i="12"/>
  <c r="E73" i="12"/>
  <c r="E65" i="12"/>
  <c r="E57" i="12"/>
  <c r="E47" i="12"/>
  <c r="E42" i="12"/>
  <c r="E35" i="12"/>
  <c r="E32" i="12"/>
  <c r="E23" i="12"/>
  <c r="E6" i="12"/>
  <c r="E145" i="12"/>
  <c r="E121" i="12"/>
  <c r="E112" i="12"/>
  <c r="E138" i="12"/>
  <c r="E54" i="12"/>
  <c r="E104" i="12"/>
  <c r="E141" i="12"/>
  <c r="E124" i="12"/>
  <c r="E144" i="12"/>
  <c r="E148" i="12"/>
  <c r="E29" i="12"/>
  <c r="E12" i="12"/>
  <c r="E10" i="12"/>
  <c r="E4" i="12"/>
  <c r="E105" i="12"/>
  <c r="E27" i="12"/>
  <c r="E113" i="12"/>
  <c r="E125" i="12"/>
  <c r="E140" i="12"/>
  <c r="E82" i="12"/>
  <c r="E75" i="12"/>
  <c r="E67" i="12"/>
  <c r="E59" i="12"/>
  <c r="E49" i="12"/>
  <c r="E19" i="12"/>
  <c r="E37" i="12"/>
  <c r="E16" i="12"/>
  <c r="E13" i="12"/>
  <c r="E20" i="12"/>
  <c r="E132" i="12"/>
  <c r="E101" i="12"/>
  <c r="E86" i="12"/>
  <c r="E71" i="12"/>
  <c r="E55" i="12"/>
  <c r="E40" i="12"/>
  <c r="E117" i="12"/>
  <c r="E97" i="12"/>
  <c r="E89" i="12"/>
  <c r="E129" i="12"/>
  <c r="E93" i="12"/>
  <c r="E52" i="12"/>
  <c r="E63" i="12"/>
  <c r="E136" i="12"/>
  <c r="E145" i="11"/>
  <c r="E128" i="11"/>
  <c r="E95" i="11"/>
  <c r="E88" i="11"/>
  <c r="E50" i="11"/>
  <c r="E19" i="11"/>
  <c r="E8" i="11"/>
  <c r="E148" i="11"/>
  <c r="E122" i="11"/>
  <c r="E120" i="11"/>
  <c r="E100" i="11"/>
  <c r="E94" i="11"/>
  <c r="E66" i="11"/>
  <c r="E64" i="11"/>
  <c r="E60" i="11"/>
  <c r="E54" i="11"/>
  <c r="E33" i="11"/>
  <c r="E49" i="11"/>
  <c r="E147" i="11"/>
  <c r="E140" i="11"/>
  <c r="E75" i="11"/>
  <c r="E42" i="11"/>
  <c r="E58" i="11"/>
  <c r="E110" i="11"/>
  <c r="E129" i="11"/>
  <c r="E124" i="11"/>
  <c r="E98" i="11"/>
  <c r="E96" i="11"/>
  <c r="E91" i="11"/>
  <c r="E84" i="11"/>
  <c r="E76" i="11"/>
  <c r="E68" i="11"/>
  <c r="E63" i="11"/>
  <c r="E53" i="11"/>
  <c r="E51" i="11"/>
  <c r="E16" i="11"/>
  <c r="E117" i="11"/>
  <c r="E103" i="11"/>
  <c r="E18" i="11"/>
  <c r="E135" i="11"/>
  <c r="E130" i="11"/>
  <c r="E116" i="11"/>
  <c r="E46" i="11"/>
  <c r="E34" i="11"/>
  <c r="E142" i="11"/>
  <c r="E127" i="11"/>
  <c r="E112" i="11"/>
  <c r="E104" i="11"/>
  <c r="E73" i="11"/>
  <c r="E47" i="11"/>
  <c r="E29" i="11"/>
  <c r="E9" i="11"/>
  <c r="E15" i="11"/>
  <c r="E45" i="11"/>
  <c r="E119" i="11"/>
  <c r="E83" i="11"/>
  <c r="E43" i="11"/>
  <c r="E93" i="11"/>
  <c r="E71" i="11"/>
  <c r="E62" i="11"/>
  <c r="E39" i="11"/>
  <c r="E37" i="11"/>
  <c r="E5" i="11"/>
  <c r="E6" i="11"/>
  <c r="E101" i="11"/>
  <c r="E79" i="11"/>
  <c r="E138" i="11"/>
  <c r="E123" i="11"/>
  <c r="E108" i="11"/>
  <c r="E99" i="11"/>
  <c r="E89" i="11"/>
  <c r="E67" i="11"/>
  <c r="E59" i="11"/>
  <c r="E57" i="11"/>
  <c r="E22" i="11"/>
  <c r="E21" i="11"/>
  <c r="E69" i="11"/>
  <c r="E14" i="11"/>
  <c r="E32" i="11"/>
  <c r="E146" i="11"/>
  <c r="E131" i="11"/>
  <c r="E115" i="11"/>
  <c r="E87" i="11"/>
  <c r="E77" i="11"/>
  <c r="E27" i="11"/>
  <c r="E20" i="11"/>
  <c r="E121" i="11"/>
  <c r="E114" i="11"/>
  <c r="E106" i="11"/>
  <c r="E97" i="11"/>
  <c r="E65" i="11"/>
  <c r="E55" i="11"/>
  <c r="C2" i="14"/>
  <c r="C2" i="13"/>
  <c r="C2" i="12"/>
  <c r="C2" i="11"/>
  <c r="G146" i="11" l="1"/>
  <c r="F146" i="11"/>
  <c r="F67" i="11"/>
  <c r="G67" i="11" s="1"/>
  <c r="G104" i="11"/>
  <c r="F104" i="11"/>
  <c r="F110" i="11"/>
  <c r="G110" i="11" s="1"/>
  <c r="G65" i="11"/>
  <c r="F65" i="11"/>
  <c r="F87" i="11"/>
  <c r="G87" i="11" s="1"/>
  <c r="G22" i="11"/>
  <c r="F22" i="11"/>
  <c r="F138" i="11"/>
  <c r="G138" i="11" s="1"/>
  <c r="G71" i="11"/>
  <c r="F71" i="11"/>
  <c r="F29" i="11"/>
  <c r="G29" i="11" s="1"/>
  <c r="G46" i="11"/>
  <c r="F46" i="11"/>
  <c r="F51" i="11"/>
  <c r="G51" i="11" s="1"/>
  <c r="G98" i="11"/>
  <c r="F98" i="11"/>
  <c r="F147" i="11"/>
  <c r="G147" i="11" s="1"/>
  <c r="G100" i="11"/>
  <c r="F100" i="11"/>
  <c r="F95" i="11"/>
  <c r="G95" i="11" s="1"/>
  <c r="G125" i="11"/>
  <c r="F125" i="11"/>
  <c r="F11" i="11"/>
  <c r="G11" i="11" s="1"/>
  <c r="G38" i="11"/>
  <c r="F38" i="11"/>
  <c r="F48" i="11"/>
  <c r="G48" i="11" s="1"/>
  <c r="G97" i="11"/>
  <c r="F97" i="11"/>
  <c r="F115" i="11"/>
  <c r="G115" i="11" s="1"/>
  <c r="G57" i="11"/>
  <c r="F57" i="11"/>
  <c r="F79" i="11"/>
  <c r="G79" i="11" s="1"/>
  <c r="G93" i="11"/>
  <c r="F93" i="11"/>
  <c r="F47" i="11"/>
  <c r="G47" i="11" s="1"/>
  <c r="G116" i="11"/>
  <c r="F116" i="11"/>
  <c r="F53" i="11"/>
  <c r="G53" i="11" s="1"/>
  <c r="G124" i="11"/>
  <c r="F124" i="11"/>
  <c r="F49" i="11"/>
  <c r="G49" i="11" s="1"/>
  <c r="G120" i="11"/>
  <c r="F120" i="11"/>
  <c r="F128" i="11"/>
  <c r="G128" i="11" s="1"/>
  <c r="G133" i="11"/>
  <c r="F133" i="11"/>
  <c r="F81" i="11"/>
  <c r="G81" i="11" s="1"/>
  <c r="G134" i="11"/>
  <c r="F134" i="11"/>
  <c r="F74" i="11"/>
  <c r="G74" i="11" s="1"/>
  <c r="G52" i="11"/>
  <c r="F52" i="11"/>
  <c r="F106" i="11"/>
  <c r="G106" i="11" s="1"/>
  <c r="G131" i="11"/>
  <c r="F131" i="11"/>
  <c r="F59" i="11"/>
  <c r="G59" i="11" s="1"/>
  <c r="G101" i="11"/>
  <c r="F101" i="11"/>
  <c r="F43" i="11"/>
  <c r="G43" i="11" s="1"/>
  <c r="G73" i="11"/>
  <c r="F73" i="11"/>
  <c r="F130" i="11"/>
  <c r="G130" i="11" s="1"/>
  <c r="G63" i="11"/>
  <c r="F63" i="11"/>
  <c r="F129" i="11"/>
  <c r="G129" i="11" s="1"/>
  <c r="G33" i="11"/>
  <c r="F33" i="11"/>
  <c r="F122" i="11"/>
  <c r="G122" i="11" s="1"/>
  <c r="G145" i="11"/>
  <c r="F145" i="11"/>
  <c r="F118" i="11"/>
  <c r="G118" i="11" s="1"/>
  <c r="G126" i="11"/>
  <c r="F126" i="11"/>
  <c r="F36" i="11"/>
  <c r="G36" i="11" s="1"/>
  <c r="G82" i="11"/>
  <c r="F82" i="11"/>
  <c r="F102" i="11"/>
  <c r="G102" i="11" s="1"/>
  <c r="G90" i="11"/>
  <c r="F90" i="11"/>
  <c r="F6" i="11"/>
  <c r="G6" i="11" s="1"/>
  <c r="G135" i="11"/>
  <c r="F135" i="11"/>
  <c r="F54" i="11"/>
  <c r="G54" i="11" s="1"/>
  <c r="G31" i="11"/>
  <c r="F31" i="11"/>
  <c r="F109" i="11"/>
  <c r="G109" i="11" s="1"/>
  <c r="G121" i="11"/>
  <c r="F121" i="11"/>
  <c r="F89" i="11"/>
  <c r="G89" i="11" s="1"/>
  <c r="G119" i="11"/>
  <c r="F119" i="11"/>
  <c r="F18" i="11"/>
  <c r="G18" i="11" s="1"/>
  <c r="G58" i="11"/>
  <c r="F58" i="11"/>
  <c r="F8" i="11"/>
  <c r="G8" i="11" s="1"/>
  <c r="G24" i="11"/>
  <c r="F24" i="11"/>
  <c r="F14" i="11"/>
  <c r="G14" i="11" s="1"/>
  <c r="G37" i="11"/>
  <c r="F37" i="11"/>
  <c r="F127" i="11"/>
  <c r="G127" i="11" s="1"/>
  <c r="G42" i="11"/>
  <c r="F42" i="11"/>
  <c r="F19" i="11"/>
  <c r="G19" i="11" s="1"/>
  <c r="G13" i="11"/>
  <c r="F13" i="11"/>
  <c r="F69" i="11"/>
  <c r="G69" i="11" s="1"/>
  <c r="G108" i="11"/>
  <c r="F108" i="11"/>
  <c r="F39" i="11"/>
  <c r="G39" i="11" s="1"/>
  <c r="G15" i="11"/>
  <c r="F15" i="11"/>
  <c r="F142" i="11"/>
  <c r="G142" i="11" s="1"/>
  <c r="G117" i="11"/>
  <c r="F117" i="11"/>
  <c r="F91" i="11"/>
  <c r="G91" i="11" s="1"/>
  <c r="G75" i="11"/>
  <c r="F75" i="11"/>
  <c r="F66" i="11"/>
  <c r="G66" i="11" s="1"/>
  <c r="G50" i="11"/>
  <c r="F50" i="11"/>
  <c r="F72" i="11"/>
  <c r="G72" i="11" s="1"/>
  <c r="G113" i="11"/>
  <c r="F113" i="11"/>
  <c r="F86" i="11"/>
  <c r="G86" i="11" s="1"/>
  <c r="G7" i="11"/>
  <c r="F7" i="11"/>
  <c r="F114" i="11"/>
  <c r="G114" i="11" s="1"/>
  <c r="G83" i="11"/>
  <c r="F83" i="11"/>
  <c r="F68" i="11"/>
  <c r="G68" i="11" s="1"/>
  <c r="G148" i="11"/>
  <c r="F148" i="11"/>
  <c r="F17" i="11"/>
  <c r="G17" i="11" s="1"/>
  <c r="G139" i="11"/>
  <c r="F139" i="11"/>
  <c r="F32" i="11"/>
  <c r="G32" i="11" s="1"/>
  <c r="G5" i="11"/>
  <c r="F5" i="11"/>
  <c r="F112" i="11"/>
  <c r="G112" i="11" s="1"/>
  <c r="G76" i="11"/>
  <c r="F76" i="11"/>
  <c r="F60" i="11"/>
  <c r="G60" i="11" s="1"/>
  <c r="G35" i="11"/>
  <c r="F35" i="11"/>
  <c r="F132" i="11"/>
  <c r="G132" i="11" s="1"/>
  <c r="G141" i="11"/>
  <c r="F141" i="11"/>
  <c r="F20" i="11"/>
  <c r="G20" i="11" s="1"/>
  <c r="G99" i="11"/>
  <c r="F99" i="11"/>
  <c r="F45" i="11"/>
  <c r="G45" i="11" s="1"/>
  <c r="G103" i="11"/>
  <c r="F103" i="11"/>
  <c r="F84" i="11"/>
  <c r="G84" i="11" s="1"/>
  <c r="G64" i="11"/>
  <c r="F64" i="11"/>
  <c r="F107" i="11"/>
  <c r="G107" i="11" s="1"/>
  <c r="G70" i="11"/>
  <c r="F70" i="11"/>
  <c r="F144" i="11"/>
  <c r="G144" i="11" s="1"/>
  <c r="G27" i="11"/>
  <c r="F27" i="11"/>
  <c r="F55" i="11"/>
  <c r="G55" i="11" s="1"/>
  <c r="G77" i="11"/>
  <c r="F77" i="11"/>
  <c r="F21" i="11"/>
  <c r="G21" i="11" s="1"/>
  <c r="G123" i="11"/>
  <c r="F123" i="11"/>
  <c r="F62" i="11"/>
  <c r="G62" i="11" s="1"/>
  <c r="G9" i="11"/>
  <c r="F9" i="11"/>
  <c r="F34" i="11"/>
  <c r="G34" i="11" s="1"/>
  <c r="G16" i="11"/>
  <c r="F16" i="11"/>
  <c r="F96" i="11"/>
  <c r="G96" i="11" s="1"/>
  <c r="G140" i="11"/>
  <c r="F140" i="11"/>
  <c r="F94" i="11"/>
  <c r="G94" i="11" s="1"/>
  <c r="G88" i="11"/>
  <c r="F88" i="11"/>
  <c r="F80" i="11"/>
  <c r="G80" i="11" s="1"/>
  <c r="G44" i="11"/>
  <c r="F44" i="11"/>
  <c r="F143" i="11"/>
  <c r="G143" i="11" s="1"/>
  <c r="G23" i="11"/>
  <c r="F23" i="11"/>
  <c r="F3" i="11"/>
  <c r="G3" i="11" s="1"/>
  <c r="F37" i="12"/>
  <c r="G37" i="12" s="1"/>
  <c r="G121" i="12"/>
  <c r="F121" i="12"/>
  <c r="F34" i="12"/>
  <c r="G34" i="12" s="1"/>
  <c r="F137" i="12"/>
  <c r="G137" i="12" s="1"/>
  <c r="F71" i="12"/>
  <c r="G71" i="12" s="1"/>
  <c r="G65" i="12"/>
  <c r="F65" i="12"/>
  <c r="F61" i="12"/>
  <c r="G61" i="12" s="1"/>
  <c r="F33" i="12"/>
  <c r="G33" i="12" s="1"/>
  <c r="F143" i="12"/>
  <c r="G143" i="12" s="1"/>
  <c r="G83" i="12"/>
  <c r="F83" i="12"/>
  <c r="F36" i="12"/>
  <c r="G36" i="12" s="1"/>
  <c r="F93" i="12"/>
  <c r="G93" i="12" s="1"/>
  <c r="F86" i="12"/>
  <c r="G86" i="12" s="1"/>
  <c r="G49" i="12"/>
  <c r="F49" i="12"/>
  <c r="F27" i="12"/>
  <c r="G27" i="12" s="1"/>
  <c r="F124" i="12"/>
  <c r="G124" i="12" s="1"/>
  <c r="F6" i="12"/>
  <c r="G6" i="12" s="1"/>
  <c r="G73" i="12"/>
  <c r="F73" i="12"/>
  <c r="F14" i="12"/>
  <c r="G14" i="12" s="1"/>
  <c r="F44" i="12"/>
  <c r="G44" i="12" s="1"/>
  <c r="F91" i="12"/>
  <c r="G91" i="12" s="1"/>
  <c r="G119" i="12"/>
  <c r="F119" i="12"/>
  <c r="F31" i="12"/>
  <c r="G31" i="12" s="1"/>
  <c r="F139" i="12"/>
  <c r="G139" i="12" s="1"/>
  <c r="F45" i="12"/>
  <c r="G45" i="12" s="1"/>
  <c r="G84" i="12"/>
  <c r="F84" i="12"/>
  <c r="F117" i="12"/>
  <c r="G117" i="12" s="1"/>
  <c r="F82" i="12"/>
  <c r="G82" i="12" s="1"/>
  <c r="F138" i="12"/>
  <c r="G138" i="12" s="1"/>
  <c r="G115" i="12"/>
  <c r="F115" i="12"/>
  <c r="F38" i="12"/>
  <c r="G38" i="12" s="1"/>
  <c r="F136" i="12"/>
  <c r="G136" i="12" s="1"/>
  <c r="F16" i="12"/>
  <c r="G16" i="12" s="1"/>
  <c r="G29" i="12"/>
  <c r="F29" i="12"/>
  <c r="F47" i="12"/>
  <c r="G47" i="12" s="1"/>
  <c r="F133" i="12"/>
  <c r="G133" i="12" s="1"/>
  <c r="F127" i="12"/>
  <c r="G127" i="12" s="1"/>
  <c r="G81" i="12"/>
  <c r="F81" i="12"/>
  <c r="F55" i="12"/>
  <c r="G55" i="12" s="1"/>
  <c r="F148" i="12"/>
  <c r="G148" i="12" s="1"/>
  <c r="F57" i="12"/>
  <c r="G57" i="12" s="1"/>
  <c r="G131" i="12"/>
  <c r="F131" i="12"/>
  <c r="F69" i="12"/>
  <c r="G69" i="12" s="1"/>
  <c r="F52" i="12"/>
  <c r="G52" i="12" s="1"/>
  <c r="F19" i="12"/>
  <c r="G19" i="12" s="1"/>
  <c r="G144" i="12"/>
  <c r="F144" i="12"/>
  <c r="F101" i="12"/>
  <c r="G101" i="12" s="1"/>
  <c r="F141" i="12"/>
  <c r="G141" i="12" s="1"/>
  <c r="F80" i="12"/>
  <c r="G80" i="12" s="1"/>
  <c r="G60" i="12"/>
  <c r="F60" i="12"/>
  <c r="F132" i="12"/>
  <c r="G132" i="12" s="1"/>
  <c r="F4" i="12"/>
  <c r="G4" i="12" s="1"/>
  <c r="F104" i="12"/>
  <c r="G104" i="12" s="1"/>
  <c r="G32" i="12"/>
  <c r="F32" i="12"/>
  <c r="F53" i="12"/>
  <c r="G53" i="12" s="1"/>
  <c r="F28" i="12"/>
  <c r="G28" i="12" s="1"/>
  <c r="F76" i="12"/>
  <c r="G76" i="12" s="1"/>
  <c r="G98" i="12"/>
  <c r="F98" i="12"/>
  <c r="F92" i="12"/>
  <c r="G92" i="12" s="1"/>
  <c r="F110" i="12"/>
  <c r="G110" i="12" s="1"/>
  <c r="F13" i="12"/>
  <c r="G13" i="12" s="1"/>
  <c r="G12" i="12"/>
  <c r="F12" i="12"/>
  <c r="F42" i="12"/>
  <c r="G42" i="12" s="1"/>
  <c r="F109" i="12"/>
  <c r="G109" i="12" s="1"/>
  <c r="F107" i="12"/>
  <c r="G107" i="12" s="1"/>
  <c r="G108" i="12"/>
  <c r="F108" i="12"/>
  <c r="F40" i="12"/>
  <c r="G40" i="12" s="1"/>
  <c r="F140" i="12"/>
  <c r="G140" i="12" s="1"/>
  <c r="F112" i="12"/>
  <c r="G112" i="12" s="1"/>
  <c r="G135" i="12"/>
  <c r="F135" i="12"/>
  <c r="F30" i="12"/>
  <c r="G30" i="12" s="1"/>
  <c r="F21" i="12"/>
  <c r="G21" i="12" s="1"/>
  <c r="F63" i="12"/>
  <c r="G63" i="12" s="1"/>
  <c r="G125" i="12"/>
  <c r="F125" i="12"/>
  <c r="F147" i="12"/>
  <c r="G147" i="12" s="1"/>
  <c r="F8" i="12"/>
  <c r="G8" i="12" s="1"/>
  <c r="F77" i="12"/>
  <c r="G77" i="12" s="1"/>
  <c r="G94" i="12"/>
  <c r="F94" i="12"/>
  <c r="F113" i="12"/>
  <c r="G113" i="12" s="1"/>
  <c r="F145" i="12"/>
  <c r="G145" i="12" s="1"/>
  <c r="F129" i="12"/>
  <c r="G129" i="12" s="1"/>
  <c r="G59" i="12"/>
  <c r="F59" i="12"/>
  <c r="F105" i="12"/>
  <c r="G105" i="12" s="1"/>
  <c r="F23" i="12"/>
  <c r="G23" i="12" s="1"/>
  <c r="F18" i="12"/>
  <c r="G18" i="12" s="1"/>
  <c r="G68" i="12"/>
  <c r="F68" i="12"/>
  <c r="F89" i="12"/>
  <c r="G89" i="12" s="1"/>
  <c r="F67" i="12"/>
  <c r="G67" i="12" s="1"/>
  <c r="F97" i="12"/>
  <c r="G97" i="12" s="1"/>
  <c r="G20" i="12"/>
  <c r="F20" i="12"/>
  <c r="F75" i="12"/>
  <c r="G75" i="12" s="1"/>
  <c r="F10" i="12"/>
  <c r="G10" i="12" s="1"/>
  <c r="F54" i="12"/>
  <c r="G54" i="12" s="1"/>
  <c r="G35" i="12"/>
  <c r="F35" i="12"/>
  <c r="F95" i="12"/>
  <c r="G95" i="12" s="1"/>
  <c r="F11" i="12"/>
  <c r="G11" i="12" s="1"/>
  <c r="F90" i="12"/>
  <c r="G90" i="12" s="1"/>
  <c r="G118" i="12"/>
  <c r="F118" i="12"/>
  <c r="F120" i="12"/>
  <c r="G120" i="12" s="1"/>
  <c r="F142" i="12"/>
  <c r="G142" i="12" s="1"/>
  <c r="F26" i="13"/>
  <c r="G26" i="13" s="1"/>
  <c r="G112" i="13"/>
  <c r="F112" i="13"/>
  <c r="G45" i="13"/>
  <c r="F45" i="13"/>
  <c r="F129" i="13"/>
  <c r="G129" i="13" s="1"/>
  <c r="F20" i="13"/>
  <c r="G20" i="13" s="1"/>
  <c r="G101" i="13"/>
  <c r="F101" i="13"/>
  <c r="G54" i="13"/>
  <c r="F54" i="13"/>
  <c r="F76" i="13"/>
  <c r="G76" i="13" s="1"/>
  <c r="F52" i="13"/>
  <c r="G52" i="13" s="1"/>
  <c r="G140" i="13"/>
  <c r="F140" i="13"/>
  <c r="G43" i="13"/>
  <c r="F43" i="13"/>
  <c r="F87" i="13"/>
  <c r="G87" i="13" s="1"/>
  <c r="F29" i="13"/>
  <c r="G29" i="13" s="1"/>
  <c r="G116" i="13"/>
  <c r="F116" i="13"/>
  <c r="G91" i="13"/>
  <c r="F91" i="13"/>
  <c r="F109" i="13"/>
  <c r="G109" i="13" s="1"/>
  <c r="F63" i="13"/>
  <c r="G63" i="13" s="1"/>
  <c r="G10" i="13"/>
  <c r="F10" i="13"/>
  <c r="G50" i="13"/>
  <c r="F50" i="13"/>
  <c r="F9" i="13"/>
  <c r="G9" i="13" s="1"/>
  <c r="F85" i="13"/>
  <c r="G85" i="13" s="1"/>
  <c r="G44" i="13"/>
  <c r="F44" i="13"/>
  <c r="G108" i="13"/>
  <c r="F108" i="13"/>
  <c r="F65" i="13"/>
  <c r="G65" i="13" s="1"/>
  <c r="F98" i="13"/>
  <c r="G98" i="13" s="1"/>
  <c r="G102" i="13"/>
  <c r="F102" i="13"/>
  <c r="G46" i="13"/>
  <c r="F46" i="13"/>
  <c r="F141" i="13"/>
  <c r="G141" i="13" s="1"/>
  <c r="F59" i="13"/>
  <c r="G59" i="13" s="1"/>
  <c r="G32" i="13"/>
  <c r="F32" i="13"/>
  <c r="G68" i="13"/>
  <c r="F68" i="13"/>
  <c r="F81" i="13"/>
  <c r="G81" i="13" s="1"/>
  <c r="F117" i="13"/>
  <c r="G117" i="13" s="1"/>
  <c r="G5" i="13"/>
  <c r="F5" i="13"/>
  <c r="G100" i="13"/>
  <c r="F100" i="13"/>
  <c r="F103" i="13"/>
  <c r="G103" i="13" s="1"/>
  <c r="F135" i="13"/>
  <c r="G135" i="13" s="1"/>
  <c r="G92" i="13"/>
  <c r="F92" i="13"/>
  <c r="G94" i="13"/>
  <c r="F94" i="13"/>
  <c r="F38" i="13"/>
  <c r="G38" i="13" s="1"/>
  <c r="F58" i="13"/>
  <c r="G58" i="13" s="1"/>
  <c r="G122" i="13"/>
  <c r="F122" i="13"/>
  <c r="G3" i="13"/>
  <c r="F3" i="13"/>
  <c r="F67" i="13"/>
  <c r="G67" i="13" s="1"/>
  <c r="F71" i="13"/>
  <c r="G71" i="13" s="1"/>
  <c r="G18" i="13"/>
  <c r="F18" i="13"/>
  <c r="G106" i="13"/>
  <c r="F106" i="13"/>
  <c r="F19" i="13"/>
  <c r="G19" i="13" s="1"/>
  <c r="F93" i="13"/>
  <c r="G93" i="13" s="1"/>
  <c r="G49" i="13"/>
  <c r="F49" i="13"/>
  <c r="G33" i="13"/>
  <c r="F33" i="13"/>
  <c r="F96" i="13"/>
  <c r="G96" i="13" s="1"/>
  <c r="F115" i="13"/>
  <c r="G115" i="13" s="1"/>
  <c r="G142" i="13"/>
  <c r="F142" i="13"/>
  <c r="G31" i="13"/>
  <c r="F31" i="13"/>
  <c r="F62" i="13"/>
  <c r="G62" i="13" s="1"/>
  <c r="F22" i="13"/>
  <c r="G22" i="13" s="1"/>
  <c r="G118" i="13"/>
  <c r="F118" i="13"/>
  <c r="G111" i="13"/>
  <c r="F111" i="13"/>
  <c r="F25" i="13"/>
  <c r="G25" i="13" s="1"/>
  <c r="F133" i="13"/>
  <c r="G133" i="13" s="1"/>
  <c r="G36" i="13"/>
  <c r="F36" i="13"/>
  <c r="G138" i="13"/>
  <c r="F138" i="13"/>
  <c r="F95" i="13"/>
  <c r="G95" i="13" s="1"/>
  <c r="F60" i="13"/>
  <c r="G60" i="13" s="1"/>
  <c r="G77" i="13"/>
  <c r="F77" i="13"/>
  <c r="G110" i="13"/>
  <c r="F110" i="13"/>
  <c r="F134" i="13"/>
  <c r="G134" i="13" s="1"/>
  <c r="F86" i="13"/>
  <c r="G86" i="13" s="1"/>
  <c r="G41" i="13"/>
  <c r="F41" i="13"/>
  <c r="G39" i="13"/>
  <c r="F39" i="13"/>
  <c r="F78" i="13"/>
  <c r="G78" i="13" s="1"/>
  <c r="F137" i="13"/>
  <c r="G137" i="13" s="1"/>
  <c r="G83" i="13"/>
  <c r="F83" i="13"/>
  <c r="G28" i="13"/>
  <c r="F28" i="13"/>
  <c r="F70" i="13"/>
  <c r="G70" i="13" s="1"/>
  <c r="F42" i="13"/>
  <c r="G42" i="13" s="1"/>
  <c r="G8" i="13"/>
  <c r="F8" i="13"/>
  <c r="G136" i="13"/>
  <c r="F136" i="13"/>
  <c r="F79" i="13"/>
  <c r="G79" i="13" s="1"/>
  <c r="F123" i="13"/>
  <c r="G123" i="13" s="1"/>
  <c r="F75" i="13"/>
  <c r="G75" i="13" s="1"/>
  <c r="G34" i="13"/>
  <c r="F34" i="13"/>
  <c r="F23" i="13"/>
  <c r="G23" i="13" s="1"/>
  <c r="F4" i="13"/>
  <c r="G4" i="13" s="1"/>
  <c r="F51" i="13"/>
  <c r="G51" i="13" s="1"/>
  <c r="G121" i="13"/>
  <c r="F121" i="13"/>
  <c r="F11" i="13"/>
  <c r="G11" i="13" s="1"/>
  <c r="F53" i="13"/>
  <c r="G53" i="13" s="1"/>
  <c r="F40" i="13"/>
  <c r="G40" i="13" s="1"/>
  <c r="G35" i="13"/>
  <c r="F35" i="13"/>
  <c r="F13" i="13"/>
  <c r="G13" i="13" s="1"/>
  <c r="F55" i="13"/>
  <c r="G55" i="13" s="1"/>
  <c r="F82" i="13"/>
  <c r="G82" i="13" s="1"/>
  <c r="G143" i="13"/>
  <c r="F143" i="13"/>
  <c r="F6" i="13"/>
  <c r="G6" i="13" s="1"/>
  <c r="F72" i="13"/>
  <c r="G72" i="13" s="1"/>
  <c r="F124" i="13"/>
  <c r="G124" i="13" s="1"/>
  <c r="G16" i="13"/>
  <c r="F16" i="13"/>
  <c r="F47" i="13"/>
  <c r="G47" i="13" s="1"/>
  <c r="F144" i="13"/>
  <c r="G144" i="13" s="1"/>
  <c r="F56" i="13"/>
  <c r="G56" i="13" s="1"/>
  <c r="G64" i="13"/>
  <c r="F64" i="13"/>
  <c r="F105" i="13"/>
  <c r="G105" i="13" s="1"/>
  <c r="F128" i="13"/>
  <c r="G128" i="13" s="1"/>
  <c r="F99" i="13"/>
  <c r="G99" i="13" s="1"/>
  <c r="G132" i="13"/>
  <c r="F132" i="13"/>
  <c r="F126" i="13"/>
  <c r="G126" i="13" s="1"/>
  <c r="F120" i="13"/>
  <c r="G120" i="13" s="1"/>
  <c r="F15" i="13"/>
  <c r="G15" i="13" s="1"/>
  <c r="G66" i="13"/>
  <c r="F66" i="13"/>
  <c r="F97" i="13"/>
  <c r="G97" i="13" s="1"/>
  <c r="F127" i="13"/>
  <c r="G127" i="13" s="1"/>
  <c r="F37" i="13"/>
  <c r="G37" i="13" s="1"/>
  <c r="G130" i="13"/>
  <c r="F130" i="13"/>
  <c r="F74" i="13"/>
  <c r="G74" i="13" s="1"/>
  <c r="F61" i="13"/>
  <c r="G61" i="13" s="1"/>
  <c r="F48" i="13"/>
  <c r="G48" i="13" s="1"/>
  <c r="G69" i="13"/>
  <c r="F69" i="13"/>
  <c r="F131" i="13"/>
  <c r="G131" i="13" s="1"/>
  <c r="F119" i="13"/>
  <c r="G119" i="13" s="1"/>
  <c r="F139" i="13"/>
  <c r="G139" i="13" s="1"/>
  <c r="F53" i="14"/>
  <c r="G53" i="14" s="1"/>
  <c r="F130" i="14"/>
  <c r="G130" i="14" s="1"/>
  <c r="G140" i="14"/>
  <c r="F140" i="14"/>
  <c r="F62" i="14"/>
  <c r="G62" i="14" s="1"/>
  <c r="F101" i="14"/>
  <c r="G101" i="14" s="1"/>
  <c r="F12" i="14"/>
  <c r="G12" i="14" s="1"/>
  <c r="G71" i="14"/>
  <c r="F71" i="14"/>
  <c r="F40" i="14"/>
  <c r="G40" i="14" s="1"/>
  <c r="F135" i="14"/>
  <c r="G135" i="14" s="1"/>
  <c r="F25" i="14"/>
  <c r="G25" i="14" s="1"/>
  <c r="G103" i="14"/>
  <c r="F103" i="14"/>
  <c r="F139" i="14"/>
  <c r="G139" i="14" s="1"/>
  <c r="F115" i="14"/>
  <c r="G115" i="14" s="1"/>
  <c r="F67" i="14"/>
  <c r="G67" i="14" s="1"/>
  <c r="G138" i="14"/>
  <c r="F138" i="14"/>
  <c r="F137" i="14"/>
  <c r="G137" i="14" s="1"/>
  <c r="F100" i="14"/>
  <c r="G100" i="14" s="1"/>
  <c r="F10" i="14"/>
  <c r="G10" i="14" s="1"/>
  <c r="G7" i="14"/>
  <c r="F7" i="14"/>
  <c r="F92" i="14"/>
  <c r="G92" i="14" s="1"/>
  <c r="F43" i="14"/>
  <c r="G43" i="14" s="1"/>
  <c r="F8" i="14"/>
  <c r="G8" i="14" s="1"/>
  <c r="G16" i="14"/>
  <c r="F16" i="14"/>
  <c r="F121" i="14"/>
  <c r="G121" i="14" s="1"/>
  <c r="F117" i="14"/>
  <c r="G117" i="14" s="1"/>
  <c r="F19" i="14"/>
  <c r="G19" i="14" s="1"/>
  <c r="G45" i="14"/>
  <c r="F45" i="14"/>
  <c r="F75" i="14"/>
  <c r="G75" i="14" s="1"/>
  <c r="F83" i="14"/>
  <c r="G83" i="14" s="1"/>
  <c r="F80" i="14"/>
  <c r="G80" i="14" s="1"/>
  <c r="G88" i="14"/>
  <c r="F88" i="14"/>
  <c r="F84" i="14"/>
  <c r="G84" i="14" s="1"/>
  <c r="F42" i="14"/>
  <c r="G42" i="14" s="1"/>
  <c r="F28" i="14"/>
  <c r="G28" i="14" s="1"/>
  <c r="G22" i="14"/>
  <c r="F22" i="14"/>
  <c r="F98" i="14"/>
  <c r="G98" i="14" s="1"/>
  <c r="F109" i="14"/>
  <c r="G109" i="14" s="1"/>
  <c r="F116" i="14"/>
  <c r="G116" i="14" s="1"/>
  <c r="G6" i="14"/>
  <c r="F6" i="14"/>
  <c r="F36" i="14"/>
  <c r="G36" i="14" s="1"/>
  <c r="F105" i="14"/>
  <c r="G105" i="14" s="1"/>
  <c r="F35" i="14"/>
  <c r="G35" i="14" s="1"/>
  <c r="G118" i="14"/>
  <c r="F118" i="14"/>
  <c r="F91" i="14"/>
  <c r="G91" i="14" s="1"/>
  <c r="F114" i="14"/>
  <c r="G114" i="14" s="1"/>
  <c r="F96" i="14"/>
  <c r="G96" i="14" s="1"/>
  <c r="G104" i="14"/>
  <c r="F104" i="14"/>
  <c r="F90" i="14"/>
  <c r="G90" i="14" s="1"/>
  <c r="F57" i="14"/>
  <c r="G57" i="14" s="1"/>
  <c r="F31" i="14"/>
  <c r="G31" i="14" s="1"/>
  <c r="G59" i="14"/>
  <c r="F59" i="14"/>
  <c r="F124" i="14"/>
  <c r="G124" i="14" s="1"/>
  <c r="F94" i="14"/>
  <c r="G94" i="14" s="1"/>
  <c r="F89" i="14"/>
  <c r="G89" i="14" s="1"/>
  <c r="G86" i="14"/>
  <c r="F86" i="14"/>
  <c r="F73" i="14"/>
  <c r="G73" i="14" s="1"/>
  <c r="F125" i="14"/>
  <c r="G125" i="14" s="1"/>
  <c r="F120" i="14"/>
  <c r="G120" i="14" s="1"/>
  <c r="G29" i="14"/>
  <c r="F29" i="14"/>
  <c r="F126" i="14"/>
  <c r="G126" i="14" s="1"/>
  <c r="F127" i="14"/>
  <c r="G127" i="14" s="1"/>
  <c r="F106" i="14"/>
  <c r="G106" i="14" s="1"/>
  <c r="G15" i="14"/>
  <c r="F15" i="14"/>
  <c r="F81" i="14"/>
  <c r="G81" i="14" s="1"/>
  <c r="F134" i="14"/>
  <c r="G134" i="14" s="1"/>
  <c r="F76" i="14"/>
  <c r="G76" i="14" s="1"/>
  <c r="G3" i="14"/>
  <c r="F3" i="14"/>
  <c r="F37" i="14"/>
  <c r="G37" i="14" s="1"/>
  <c r="F60" i="14"/>
  <c r="G60" i="14" s="1"/>
  <c r="F82" i="14"/>
  <c r="G82" i="14" s="1"/>
  <c r="G13" i="14"/>
  <c r="F13" i="14"/>
  <c r="F87" i="14"/>
  <c r="G87" i="14" s="1"/>
  <c r="F47" i="14"/>
  <c r="G47" i="14" s="1"/>
  <c r="F54" i="14"/>
  <c r="G54" i="14" s="1"/>
  <c r="G74" i="14"/>
  <c r="F74" i="14"/>
  <c r="F93" i="14"/>
  <c r="G93" i="14" s="1"/>
  <c r="F132" i="14"/>
  <c r="G132" i="14" s="1"/>
  <c r="F66" i="14"/>
  <c r="G66" i="14" s="1"/>
  <c r="G32" i="14"/>
  <c r="F32" i="14"/>
  <c r="F14" i="14"/>
  <c r="G14" i="14" s="1"/>
  <c r="F128" i="14"/>
  <c r="G128" i="14" s="1"/>
  <c r="F58" i="14"/>
  <c r="G58" i="14" s="1"/>
  <c r="G107" i="14"/>
  <c r="F107" i="14"/>
  <c r="F111" i="14"/>
  <c r="G111" i="14" s="1"/>
  <c r="F18" i="14"/>
  <c r="G18" i="14" s="1"/>
  <c r="F46" i="14"/>
  <c r="G46" i="14" s="1"/>
  <c r="G122" i="14"/>
  <c r="F122" i="14"/>
  <c r="F51" i="14"/>
  <c r="G51" i="14" s="1"/>
  <c r="F41" i="14"/>
  <c r="G41" i="14" s="1"/>
  <c r="F34" i="14"/>
  <c r="G34" i="14" s="1"/>
  <c r="F39" i="14"/>
  <c r="G39" i="14" s="1"/>
  <c r="F113" i="14"/>
  <c r="G113" i="14" s="1"/>
  <c r="F9" i="14"/>
  <c r="G9" i="14" s="1"/>
  <c r="F17" i="14"/>
  <c r="G17" i="14" s="1"/>
  <c r="F112" i="14"/>
  <c r="G112" i="14" s="1"/>
  <c r="F79" i="14"/>
  <c r="G79" i="14" s="1"/>
  <c r="F142" i="14"/>
  <c r="G142" i="14" s="1"/>
  <c r="F72" i="14"/>
  <c r="G72" i="14" s="1"/>
  <c r="F63" i="14"/>
  <c r="G63" i="14" s="1"/>
  <c r="F68" i="14"/>
  <c r="G68" i="14" s="1"/>
  <c r="F55" i="14"/>
  <c r="G55" i="14" s="1"/>
  <c r="F50" i="14"/>
  <c r="G50" i="14" s="1"/>
  <c r="F52" i="14"/>
  <c r="G52" i="14" s="1"/>
  <c r="F56" i="14"/>
  <c r="G56" i="14" s="1"/>
  <c r="F20" i="14"/>
  <c r="G20" i="14" s="1"/>
  <c r="F97" i="14"/>
  <c r="G97" i="14" s="1"/>
  <c r="F123" i="14"/>
  <c r="G123" i="14" s="1"/>
  <c r="F119" i="14"/>
  <c r="G119" i="14" s="1"/>
  <c r="F48" i="14"/>
  <c r="G48" i="14" s="1"/>
  <c r="F95" i="14"/>
  <c r="G95" i="14" s="1"/>
  <c r="F131" i="14"/>
  <c r="G131" i="14" s="1"/>
  <c r="F108" i="14"/>
  <c r="G108" i="14" s="1"/>
  <c r="G44" i="14"/>
  <c r="F44" i="14"/>
  <c r="F99" i="14"/>
  <c r="G99" i="14" s="1"/>
  <c r="F64" i="14"/>
  <c r="G64" i="14" s="1"/>
  <c r="F85" i="14"/>
  <c r="G85" i="14" s="1"/>
  <c r="G129" i="14"/>
  <c r="F129" i="14"/>
  <c r="F21" i="14"/>
  <c r="G21" i="14" s="1"/>
  <c r="F77" i="14"/>
  <c r="G77" i="14" s="1"/>
  <c r="F110" i="14"/>
  <c r="G110" i="14" s="1"/>
  <c r="G30" i="14"/>
  <c r="F30" i="14"/>
  <c r="F141" i="14"/>
  <c r="G141" i="14" s="1"/>
  <c r="F70" i="14"/>
  <c r="G70" i="14" s="1"/>
  <c r="B2" i="14"/>
  <c r="D2" i="14"/>
  <c r="B2" i="13"/>
  <c r="D2" i="13"/>
  <c r="B2" i="12"/>
  <c r="D2" i="12"/>
  <c r="B2" i="11"/>
  <c r="D2" i="11"/>
  <c r="E2" i="13" l="1"/>
  <c r="E2" i="12"/>
  <c r="E2" i="11"/>
  <c r="E2" i="14"/>
  <c r="F2" i="11" l="1"/>
  <c r="G2" i="11" s="1"/>
  <c r="F2" i="12"/>
  <c r="G2" i="12" s="1"/>
  <c r="F2" i="13"/>
  <c r="G2" i="13" s="1"/>
  <c r="F2" i="14"/>
  <c r="G2" i="14" s="1"/>
  <c r="J2" i="14" l="1"/>
  <c r="J2" i="13"/>
  <c r="J2" i="12"/>
  <c r="K2" i="14"/>
  <c r="K2" i="12"/>
  <c r="K2" i="13"/>
  <c r="J2" i="11" l="1"/>
  <c r="K2" i="11" l="1"/>
</calcChain>
</file>

<file path=xl/sharedStrings.xml><?xml version="1.0" encoding="utf-8"?>
<sst xmlns="http://schemas.openxmlformats.org/spreadsheetml/2006/main" count="2943" uniqueCount="621">
  <si>
    <t>ID</t>
  </si>
  <si>
    <t>逐梦</t>
  </si>
  <si>
    <t>如梦</t>
  </si>
  <si>
    <t>若梦</t>
  </si>
  <si>
    <t>何梦</t>
  </si>
  <si>
    <t>ID</t>
    <phoneticPr fontId="0" type="noConversion"/>
  </si>
  <si>
    <t xml:space="preserve">合计 </t>
    <phoneticPr fontId="0" type="noConversion"/>
  </si>
  <si>
    <t>KILL</t>
  </si>
  <si>
    <t>ASS</t>
  </si>
  <si>
    <t>实际发放</t>
  </si>
  <si>
    <t>帮战</t>
  </si>
  <si>
    <t>实际应发</t>
  </si>
  <si>
    <t>超六人数</t>
  </si>
  <si>
    <t>Mon</t>
  </si>
  <si>
    <t>Tue</t>
  </si>
  <si>
    <t>Wed</t>
  </si>
  <si>
    <t>Thu</t>
  </si>
  <si>
    <t>Fri</t>
  </si>
  <si>
    <t>墨韵轩华</t>
  </si>
  <si>
    <t>与尔同销萬古愁</t>
  </si>
  <si>
    <t>夜冥雪</t>
  </si>
  <si>
    <t>HONOR</t>
  </si>
  <si>
    <t>DKP</t>
  </si>
  <si>
    <t>YY统计</t>
  </si>
  <si>
    <t>Sat</t>
  </si>
  <si>
    <t>Sun</t>
  </si>
  <si>
    <t>帮众</t>
  </si>
  <si>
    <t>帮派</t>
  </si>
  <si>
    <t>剩余</t>
  </si>
  <si>
    <t>获得</t>
  </si>
  <si>
    <t>折扇浪漫</t>
  </si>
  <si>
    <t>双生逐梦</t>
  </si>
  <si>
    <t>梦觞丶</t>
  </si>
  <si>
    <t>机智勇敢的小珞</t>
  </si>
  <si>
    <t>除了帅还有酷</t>
  </si>
  <si>
    <t>仼小三</t>
  </si>
  <si>
    <t>浪迹小秦</t>
  </si>
  <si>
    <t>花炮炮炮炮</t>
  </si>
  <si>
    <t>墨河</t>
  </si>
  <si>
    <t>雪の下八幡</t>
  </si>
  <si>
    <t>时钟轻摇孤独</t>
  </si>
  <si>
    <t>花兮兮兮兮</t>
  </si>
  <si>
    <t>茨木与酒吞与狗</t>
  </si>
  <si>
    <t>ヅ伴烟萝</t>
  </si>
  <si>
    <t>阴萤儿</t>
  </si>
  <si>
    <t>南宫絮语</t>
  </si>
  <si>
    <t>ヅ醉晴空</t>
  </si>
  <si>
    <t>帝喾</t>
  </si>
  <si>
    <t>a逼c迪e诶扶鸡</t>
  </si>
  <si>
    <t>栖零刻</t>
  </si>
  <si>
    <t>牛奶奶奶奶</t>
  </si>
  <si>
    <t>〃北梦木兮</t>
  </si>
  <si>
    <t>渡亡</t>
  </si>
  <si>
    <t>糖小妖ゞ</t>
  </si>
  <si>
    <t>澪澪</t>
  </si>
  <si>
    <t>棠棠</t>
  </si>
  <si>
    <t>零拾</t>
  </si>
  <si>
    <t>薛涛笺</t>
  </si>
  <si>
    <t>农奴翻身当地主</t>
  </si>
  <si>
    <t>承受我得狂或野</t>
  </si>
  <si>
    <t>超能英雄</t>
  </si>
  <si>
    <t>吕小栋</t>
  </si>
  <si>
    <t>巡山的人</t>
  </si>
  <si>
    <t>凰荼歌</t>
  </si>
  <si>
    <t>牧西城</t>
  </si>
  <si>
    <t>喝脉动割动脉</t>
  </si>
  <si>
    <t>√蓝莓巧克力丶</t>
  </si>
  <si>
    <t>我是你狼叔啊</t>
  </si>
  <si>
    <t>慕容诗情</t>
  </si>
  <si>
    <t>安九岁</t>
  </si>
  <si>
    <t>秋末黑白</t>
  </si>
  <si>
    <t>慕容诗徽</t>
  </si>
  <si>
    <t>满分丶离渊</t>
  </si>
  <si>
    <t>慕落弦</t>
  </si>
  <si>
    <t>QQ绿钻</t>
  </si>
  <si>
    <t>唐门仐少</t>
  </si>
  <si>
    <t>冷殘心</t>
  </si>
  <si>
    <t>风涧酒</t>
  </si>
  <si>
    <t>眉间一点白</t>
  </si>
  <si>
    <t>颓废老男人</t>
  </si>
  <si>
    <t>峰卷残云</t>
  </si>
  <si>
    <t>袅袅余音灬</t>
  </si>
  <si>
    <t>比逗是念着反</t>
  </si>
  <si>
    <t>老娘是人来疯</t>
  </si>
  <si>
    <t>耐侀</t>
  </si>
  <si>
    <t>素蝶</t>
  </si>
  <si>
    <t>暮雪醉逍遥</t>
  </si>
  <si>
    <t>丶海棠丶</t>
  </si>
  <si>
    <t>劳资好萌好可爱</t>
  </si>
  <si>
    <t>转身泪雨倾城</t>
  </si>
  <si>
    <t>箫布吉</t>
  </si>
  <si>
    <t>青丝枫凌</t>
  </si>
  <si>
    <t>白轻寒</t>
  </si>
  <si>
    <t>穆洛晗</t>
  </si>
  <si>
    <t>贺兰丶宁儿</t>
  </si>
  <si>
    <t>剑老白</t>
  </si>
  <si>
    <t>乌龙擦汗</t>
  </si>
  <si>
    <t>神异诀</t>
  </si>
  <si>
    <t>阎罗笑面佛</t>
  </si>
  <si>
    <t>鬼符三清</t>
  </si>
  <si>
    <t>孟孟孟孟孟</t>
  </si>
  <si>
    <t>碧眼狐狸、赵四</t>
  </si>
  <si>
    <t>陈凌风</t>
  </si>
  <si>
    <t>跟寂寞再和好丶</t>
  </si>
  <si>
    <t>右逝</t>
  </si>
  <si>
    <t>沐伯乾</t>
  </si>
  <si>
    <t>嗜酒小道爷</t>
  </si>
  <si>
    <t>剑舞天涯</t>
  </si>
  <si>
    <t>凤鸣秋</t>
  </si>
  <si>
    <t>雪丶无忆</t>
  </si>
  <si>
    <t>叨叨</t>
  </si>
  <si>
    <t>我是天香的啊</t>
  </si>
  <si>
    <t>慕容紫诺</t>
  </si>
  <si>
    <t>代璟瑗</t>
  </si>
  <si>
    <t>张灵风</t>
  </si>
  <si>
    <t>白素。</t>
  </si>
  <si>
    <t>奥利奥。巧轻脆</t>
  </si>
  <si>
    <t>一时春色</t>
  </si>
  <si>
    <t>我是萝卜啊</t>
  </si>
  <si>
    <t>太极神尊</t>
  </si>
  <si>
    <t>ޓ俱是梦中人</t>
  </si>
  <si>
    <t>墨如渊</t>
  </si>
  <si>
    <t>神荼夜</t>
  </si>
  <si>
    <t>萝卜配白菜</t>
  </si>
  <si>
    <t>拿重剑的唐门</t>
  </si>
  <si>
    <t>夙云烟</t>
  </si>
  <si>
    <t>浪琴</t>
  </si>
  <si>
    <t>青丶玄</t>
  </si>
  <si>
    <t>丶古力豆</t>
  </si>
  <si>
    <t>陈日阳</t>
  </si>
  <si>
    <t>破穿</t>
  </si>
  <si>
    <t>冥辕</t>
  </si>
  <si>
    <t>芽间面码</t>
  </si>
  <si>
    <t>赵昊昌</t>
  </si>
  <si>
    <t>章鱼宝宝</t>
  </si>
  <si>
    <t>墨泓</t>
  </si>
  <si>
    <t>练武风化</t>
  </si>
  <si>
    <t>青城爱未恋</t>
  </si>
  <si>
    <t>双生若梦</t>
  </si>
  <si>
    <t>午时已到小叨叨</t>
  </si>
  <si>
    <t>唐舞桐灬</t>
  </si>
  <si>
    <t>荡荡</t>
  </si>
  <si>
    <t>那年红颜</t>
  </si>
  <si>
    <t>帅气无敌康爸爸</t>
  </si>
  <si>
    <t>奶小牛丶</t>
  </si>
  <si>
    <t>此情珂待</t>
  </si>
  <si>
    <t>青骢绝骑塑天荒</t>
  </si>
  <si>
    <t>冷语情</t>
  </si>
  <si>
    <t>莫寻欢</t>
  </si>
  <si>
    <t>蝎子莱莱</t>
  </si>
  <si>
    <t>水影悠兰</t>
  </si>
  <si>
    <t>蝶舞旧梦</t>
  </si>
  <si>
    <t>东风路三狗蛋</t>
  </si>
  <si>
    <t>三绝仙子曲萌萌</t>
  </si>
  <si>
    <t>框框</t>
  </si>
  <si>
    <t>充气奶茶</t>
  </si>
  <si>
    <t>心爱임</t>
  </si>
  <si>
    <t>冷晓汐丶</t>
  </si>
  <si>
    <t>冷如是丶</t>
  </si>
  <si>
    <t>艾莉亞史塔克</t>
  </si>
  <si>
    <t>青羽墨染云</t>
  </si>
  <si>
    <t>紫雨幽雲</t>
  </si>
  <si>
    <t>五六柒</t>
  </si>
  <si>
    <t>潇洒仗剑天下</t>
  </si>
  <si>
    <t>冷清语</t>
  </si>
  <si>
    <t>昔昔</t>
  </si>
  <si>
    <t>千夜임</t>
  </si>
  <si>
    <t>我要当咸鱼</t>
  </si>
  <si>
    <t>小心有诈哦</t>
  </si>
  <si>
    <t>况况况况</t>
  </si>
  <si>
    <t>空虚公子萧四无</t>
  </si>
  <si>
    <t>伊贰叁</t>
  </si>
  <si>
    <t>仐仐、</t>
  </si>
  <si>
    <t>魔法少女杜芸松</t>
  </si>
  <si>
    <t>踏马清月夜</t>
  </si>
  <si>
    <t>天下芒果</t>
  </si>
  <si>
    <t>叶枫刃</t>
  </si>
  <si>
    <t>若小瞳丶</t>
  </si>
  <si>
    <t>那年今若、</t>
  </si>
  <si>
    <t>㏑ゞ初心ノ</t>
  </si>
  <si>
    <t>鲨鱼辣椒</t>
  </si>
  <si>
    <t>纯洁友善的殇</t>
  </si>
  <si>
    <t>드秋名山车神드</t>
  </si>
  <si>
    <t>丶吴宇森</t>
  </si>
  <si>
    <t>阿翔翔</t>
  </si>
  <si>
    <t>之锦</t>
  </si>
  <si>
    <t>逍遥凝月</t>
  </si>
  <si>
    <t>天机老人陆小凤</t>
  </si>
  <si>
    <t>洪时雪</t>
  </si>
  <si>
    <t>濯清莲而不妖</t>
  </si>
  <si>
    <t>萝卜土豆丝</t>
  </si>
  <si>
    <t>追风少年鹰老七</t>
  </si>
  <si>
    <t>伊似君心</t>
  </si>
  <si>
    <t>等我出轻语</t>
  </si>
  <si>
    <t>离渊不破笑道人</t>
  </si>
  <si>
    <t>四月耀阳</t>
  </si>
  <si>
    <t>祠下</t>
  </si>
  <si>
    <t>夜雨流年</t>
  </si>
  <si>
    <t>志方</t>
  </si>
  <si>
    <t>七情剑伶慕容英</t>
  </si>
  <si>
    <t>月牙冲天</t>
  </si>
  <si>
    <t>入梦落樱满熏香</t>
  </si>
  <si>
    <t>天使去要饭丶</t>
  </si>
  <si>
    <t>伱的酒窝没有酒</t>
  </si>
  <si>
    <t>友善的小内衣</t>
  </si>
  <si>
    <t>歌风路丶三狗蛋</t>
  </si>
  <si>
    <t>冉灬子墨</t>
  </si>
  <si>
    <t>其实是句号</t>
  </si>
  <si>
    <t>茶凉言尽丶</t>
  </si>
  <si>
    <t>瑶君</t>
  </si>
  <si>
    <t>纯洁友善的暮夏</t>
  </si>
  <si>
    <t>妄于</t>
  </si>
  <si>
    <t>纯情少妇马芳玲</t>
  </si>
  <si>
    <t>青丝如沫</t>
  </si>
  <si>
    <t>徐耶比</t>
  </si>
  <si>
    <t>轩辕疯疯</t>
  </si>
  <si>
    <t>东风路大狗蛋</t>
  </si>
  <si>
    <t>月下魂兮</t>
  </si>
  <si>
    <t>浩浩丶浩</t>
  </si>
  <si>
    <t>伐青</t>
  </si>
  <si>
    <t>最可爱的师姐</t>
  </si>
  <si>
    <t>乏乏</t>
  </si>
  <si>
    <t>剣殊雨寒丶</t>
  </si>
  <si>
    <t>神奇宝贝杨尼玛</t>
  </si>
  <si>
    <t>九袋丐</t>
  </si>
  <si>
    <t>余靚</t>
  </si>
  <si>
    <t>夺命魅影</t>
  </si>
  <si>
    <t>二狗娃</t>
  </si>
  <si>
    <t>好想告诉伱</t>
  </si>
  <si>
    <t>落花丶醉</t>
  </si>
  <si>
    <t>夏鸳丶</t>
  </si>
  <si>
    <t>尹霓裳</t>
  </si>
  <si>
    <t>云落凤影</t>
  </si>
  <si>
    <t>赤月染红尘</t>
  </si>
  <si>
    <t>花开灬渐隐</t>
  </si>
  <si>
    <t>二瞳</t>
  </si>
  <si>
    <t>马来西亚的咪咪</t>
  </si>
  <si>
    <t>ぃ碎光</t>
  </si>
  <si>
    <t>龙灬泉</t>
  </si>
  <si>
    <t>顾寻清</t>
  </si>
  <si>
    <t>素衣点梅妆</t>
  </si>
  <si>
    <t>双墨</t>
  </si>
  <si>
    <t>叶小左</t>
  </si>
  <si>
    <t>千绯</t>
  </si>
  <si>
    <t>彡电竞丿柯南乄</t>
  </si>
  <si>
    <t>恶酒。</t>
  </si>
  <si>
    <t>紫舞流年</t>
  </si>
  <si>
    <t>凉情负</t>
  </si>
  <si>
    <t>冬瓜小荞</t>
  </si>
  <si>
    <t>青絮丶</t>
  </si>
  <si>
    <t>项辰帝</t>
  </si>
  <si>
    <t>一根直肠通大脑</t>
  </si>
  <si>
    <t>叶菡</t>
  </si>
  <si>
    <t>储舜</t>
  </si>
  <si>
    <t>Sunnyboy丶桔子</t>
  </si>
  <si>
    <t>咸鱼棒棒糖</t>
  </si>
  <si>
    <t>冉灬子灬墨</t>
  </si>
  <si>
    <t>冷清初</t>
  </si>
  <si>
    <t>倾舞情儿</t>
  </si>
  <si>
    <t>双生如梦</t>
  </si>
  <si>
    <t>唐道人</t>
  </si>
  <si>
    <t>淺笙</t>
  </si>
  <si>
    <t>凌渃尘</t>
  </si>
  <si>
    <t>シ流氓帅哥ジ</t>
  </si>
  <si>
    <t>樱夢</t>
  </si>
  <si>
    <t>余子乔丶</t>
  </si>
  <si>
    <t>皮蛋奶茶</t>
  </si>
  <si>
    <t>太极至尊</t>
  </si>
  <si>
    <t>毒药奶茶</t>
  </si>
  <si>
    <t>三千世界鴉杀尽</t>
  </si>
  <si>
    <t>些许</t>
  </si>
  <si>
    <t>荼薇与澈</t>
  </si>
  <si>
    <t>大光明里凤凰现</t>
  </si>
  <si>
    <t>鹿山丶远远</t>
  </si>
  <si>
    <t>易訫一莉</t>
  </si>
  <si>
    <t>kingdan</t>
  </si>
  <si>
    <t>八块腹肌小官人</t>
  </si>
  <si>
    <t>小白兔呀</t>
  </si>
  <si>
    <t>回忆不曾悲伤</t>
  </si>
  <si>
    <t>椛灯</t>
  </si>
  <si>
    <t>友善的若云</t>
  </si>
  <si>
    <t>醉夜玲珑</t>
  </si>
  <si>
    <t>言白衣</t>
  </si>
  <si>
    <t>殷迎荷</t>
  </si>
  <si>
    <t>罗涵柏</t>
  </si>
  <si>
    <t>纳加法</t>
  </si>
  <si>
    <t>长发飘飘跑</t>
  </si>
  <si>
    <t>取个名好麻烦啊</t>
  </si>
  <si>
    <t>猫笑夏花红衣香</t>
  </si>
  <si>
    <t>逄幻灵</t>
  </si>
  <si>
    <t>落落清歡丶</t>
  </si>
  <si>
    <t>刁起奶嘴闯天下</t>
  </si>
  <si>
    <t>十里重莲艳酒</t>
  </si>
  <si>
    <t>刀灵媛</t>
  </si>
  <si>
    <t>阿锟猫</t>
  </si>
  <si>
    <t>俱利摩</t>
  </si>
  <si>
    <t>一个有内涵的人</t>
  </si>
  <si>
    <t>红尘落雪月无痕</t>
  </si>
  <si>
    <t>ZzEvi11qRuxi</t>
  </si>
  <si>
    <t>如酒如笙歌ゎ</t>
  </si>
  <si>
    <t>闭月羞</t>
  </si>
  <si>
    <t>魅丿无情</t>
  </si>
  <si>
    <t>゛蓝瘦丶</t>
  </si>
  <si>
    <t>寒心蕊</t>
  </si>
  <si>
    <t>这游戏真挺难啊</t>
  </si>
  <si>
    <t>红颜痴情笑</t>
  </si>
  <si>
    <t>刃歌</t>
  </si>
  <si>
    <t>童话话</t>
  </si>
  <si>
    <t>殇如此忧伤</t>
  </si>
  <si>
    <t>笑崖</t>
  </si>
  <si>
    <t>猜猜ぃ</t>
  </si>
  <si>
    <t>月影粟</t>
  </si>
  <si>
    <t>武藏野剑太</t>
  </si>
  <si>
    <t>娜迦海妖</t>
  </si>
  <si>
    <t>刀气长河</t>
  </si>
  <si>
    <t>杜凡</t>
  </si>
  <si>
    <t>友善的大夫</t>
  </si>
  <si>
    <t>与君共枕到天明</t>
  </si>
  <si>
    <t>折影凤栖弦i</t>
  </si>
  <si>
    <t>咲冭陽</t>
  </si>
  <si>
    <t>雪域星空</t>
  </si>
  <si>
    <t>小月茕</t>
  </si>
  <si>
    <t>凱蒂喵</t>
  </si>
  <si>
    <t>太阳骑士炮灰</t>
  </si>
  <si>
    <t>圈圈</t>
  </si>
  <si>
    <t>诸天花雨</t>
  </si>
  <si>
    <t>云海小明</t>
  </si>
  <si>
    <t>剑归有情</t>
  </si>
  <si>
    <t>红毛</t>
  </si>
  <si>
    <t>小雪妖</t>
  </si>
  <si>
    <t>北城初夏</t>
  </si>
  <si>
    <t>仁剑震音扬</t>
  </si>
  <si>
    <t>电车丶痴汉</t>
  </si>
  <si>
    <t>博刷</t>
  </si>
  <si>
    <t>拉轰小女子</t>
  </si>
  <si>
    <t>我讨厌用名字</t>
  </si>
  <si>
    <t>小贼DM</t>
  </si>
  <si>
    <t>褚墨儿</t>
  </si>
  <si>
    <t>蓝白喵</t>
  </si>
  <si>
    <t>莫雪飞飞</t>
  </si>
  <si>
    <t>米兰的阳光</t>
  </si>
  <si>
    <t>谁家娇妻守空房</t>
  </si>
  <si>
    <t>花少翔</t>
  </si>
  <si>
    <t>鱼香</t>
  </si>
  <si>
    <t>双生何梦</t>
  </si>
  <si>
    <t>明婕</t>
  </si>
  <si>
    <t>太子彬</t>
  </si>
  <si>
    <t>晓月梦澈</t>
  </si>
  <si>
    <t>素以折扇</t>
  </si>
  <si>
    <t>再见是否红着脸</t>
  </si>
  <si>
    <t>萧劲城</t>
  </si>
  <si>
    <t>丐帮汪剑通</t>
  </si>
  <si>
    <t>襄州牛头梗</t>
  </si>
  <si>
    <t>墨萧炎</t>
  </si>
  <si>
    <t>倾君慕晚画ゞ</t>
  </si>
  <si>
    <t>凉城薇梦</t>
  </si>
  <si>
    <t>梨花黛雨</t>
  </si>
  <si>
    <t>黑泽丶八重</t>
  </si>
  <si>
    <t>树儿高高长</t>
  </si>
  <si>
    <t>凛柒っ</t>
  </si>
  <si>
    <t>茴香。</t>
  </si>
  <si>
    <t>薏苡。</t>
  </si>
  <si>
    <t>天语灬幻影</t>
  </si>
  <si>
    <t>陌路莫回</t>
  </si>
  <si>
    <t>苏幕清</t>
  </si>
  <si>
    <t>冷沐瞳</t>
  </si>
  <si>
    <t>务必叫我欧皇</t>
  </si>
  <si>
    <t>真的很帅啊</t>
  </si>
  <si>
    <t>丶薛日天</t>
  </si>
  <si>
    <t>浮生半日</t>
  </si>
  <si>
    <t>真爱一定有颜色</t>
  </si>
  <si>
    <t>守护锋</t>
  </si>
  <si>
    <t>希希希丶汐</t>
  </si>
  <si>
    <t>咸鱼天香</t>
  </si>
  <si>
    <t>回头我就在身后</t>
  </si>
  <si>
    <t>雪遥</t>
  </si>
  <si>
    <t>笑看浮华红尘事</t>
  </si>
  <si>
    <t>颂碑寒</t>
  </si>
  <si>
    <t>慕瑾遥</t>
  </si>
  <si>
    <t>、陌上看花</t>
  </si>
  <si>
    <t>邱少</t>
  </si>
  <si>
    <t>如殇如暮歌ゎ</t>
  </si>
  <si>
    <t>花儿盛盛开</t>
  </si>
  <si>
    <t>花花酱전등</t>
  </si>
  <si>
    <t>獨醉。</t>
  </si>
  <si>
    <t>无爱别演</t>
  </si>
  <si>
    <t>春困的团子</t>
  </si>
  <si>
    <t>钟离三昧</t>
  </si>
  <si>
    <t>半月梨花带春风</t>
  </si>
  <si>
    <t>千雪冰鳳</t>
  </si>
  <si>
    <t>冷汐宇</t>
  </si>
  <si>
    <t>沉珠</t>
  </si>
  <si>
    <t>慕城雪</t>
  </si>
  <si>
    <t>无所不能小奇葩</t>
  </si>
  <si>
    <t>一叶知秋づ</t>
  </si>
  <si>
    <t>逍遥芙蕖</t>
  </si>
  <si>
    <t>榕月</t>
  </si>
  <si>
    <t>月夜凉</t>
  </si>
  <si>
    <t>丶天蓝色</t>
  </si>
  <si>
    <t>宇文云</t>
  </si>
  <si>
    <t>半日丶浮生</t>
  </si>
  <si>
    <t>淡然置之</t>
  </si>
  <si>
    <t>夏又離</t>
  </si>
  <si>
    <t>奔啵尔霸</t>
  </si>
  <si>
    <t>段麒</t>
  </si>
  <si>
    <t>烈凝风</t>
  </si>
  <si>
    <t>丶神楽</t>
  </si>
  <si>
    <t>秦友善。</t>
  </si>
  <si>
    <t>闻素问</t>
  </si>
  <si>
    <t>易小川</t>
  </si>
  <si>
    <t>凉山伯</t>
  </si>
  <si>
    <t>偌米粥丶</t>
  </si>
  <si>
    <t>语丶殇</t>
  </si>
  <si>
    <t>半夏乄言</t>
  </si>
  <si>
    <t>樱桃さま</t>
  </si>
  <si>
    <t>葉窕</t>
  </si>
  <si>
    <t>琉璎</t>
  </si>
  <si>
    <t>辉辉辉辉丶輝</t>
  </si>
  <si>
    <t>太极魔尊</t>
  </si>
  <si>
    <t>雪糕失望</t>
  </si>
  <si>
    <t>巴蜀萨摩耶</t>
  </si>
  <si>
    <t>鱼爸爸</t>
  </si>
  <si>
    <t>琴韵红衣丶心</t>
  </si>
  <si>
    <t>神威司空阿龙</t>
  </si>
  <si>
    <t>企及</t>
  </si>
  <si>
    <t>酒夭夭</t>
  </si>
  <si>
    <t>良人未良</t>
  </si>
  <si>
    <t>醉里论道、</t>
  </si>
  <si>
    <t>云清墟</t>
  </si>
  <si>
    <t>鹿山丶政政</t>
  </si>
  <si>
    <t>骄傲的龙王丶</t>
  </si>
  <si>
    <t>轩辕夏爽</t>
  </si>
  <si>
    <t>李红尘丶</t>
  </si>
  <si>
    <t>五圆</t>
  </si>
  <si>
    <t>飞翔的鸟儿</t>
  </si>
  <si>
    <t>乔十三丶</t>
  </si>
  <si>
    <t>凡人的梦</t>
  </si>
  <si>
    <t>一柄唐刀断幽冥</t>
  </si>
  <si>
    <t>小时候就很皮</t>
  </si>
  <si>
    <t>黄龙健霸</t>
  </si>
  <si>
    <t>曲终无意</t>
  </si>
  <si>
    <t>口味太怪</t>
  </si>
  <si>
    <t>友善的牛奶糖</t>
  </si>
  <si>
    <t>黑泽丶纱重</t>
  </si>
  <si>
    <t>薛无衡</t>
  </si>
  <si>
    <t>执劍小书生</t>
  </si>
  <si>
    <t>潇潇暮雨</t>
  </si>
  <si>
    <t>伯爵奶茶</t>
  </si>
  <si>
    <t>惜玉挽轻裳</t>
  </si>
  <si>
    <t>胡大力</t>
  </si>
  <si>
    <t>壬生京大郎</t>
  </si>
  <si>
    <t>墨語丶</t>
  </si>
  <si>
    <t>狄万钧</t>
  </si>
  <si>
    <t>冬眠的团子</t>
  </si>
  <si>
    <t>丶淡衣</t>
  </si>
  <si>
    <t>丶忍野咩咩</t>
  </si>
  <si>
    <t>诚如神之所说</t>
  </si>
  <si>
    <t>维桢</t>
  </si>
  <si>
    <t>万年孤独</t>
  </si>
  <si>
    <t>神威再见</t>
  </si>
  <si>
    <t>暮小曦丶</t>
  </si>
  <si>
    <t>超懒的阿元呀</t>
  </si>
  <si>
    <t>遇之则感。</t>
  </si>
  <si>
    <t>泪忆寒、</t>
  </si>
  <si>
    <t>柒苍术的小傀儡</t>
  </si>
  <si>
    <t>皈依奶小牛丶</t>
  </si>
  <si>
    <t>丐帮金鹏</t>
  </si>
  <si>
    <t>太白洗衣液</t>
  </si>
  <si>
    <t>剑惜玉</t>
  </si>
  <si>
    <t>君i陌离</t>
  </si>
  <si>
    <t>sad自行车</t>
  </si>
  <si>
    <t>安好晴天</t>
  </si>
  <si>
    <t>宋画蝶</t>
  </si>
  <si>
    <t>墨韵玄风</t>
  </si>
  <si>
    <t>别碰我的葫芦</t>
  </si>
  <si>
    <t>落叶秋雨</t>
  </si>
  <si>
    <t>逃跑的糯米糕</t>
  </si>
  <si>
    <t>叶天簌</t>
  </si>
  <si>
    <t>时光不矜持</t>
  </si>
  <si>
    <t>Jocelyn</t>
  </si>
  <si>
    <t>森埋</t>
  </si>
  <si>
    <t>墨染百花情</t>
  </si>
  <si>
    <t>她以为永远很远</t>
  </si>
  <si>
    <t>若无似有小偏执</t>
  </si>
  <si>
    <t>森林女巫林晚阳</t>
  </si>
  <si>
    <t>若无似有小虎逼</t>
  </si>
  <si>
    <t>白白</t>
  </si>
  <si>
    <t>鲜虾鱼板很Q弹</t>
  </si>
  <si>
    <t>若无似有小屁孩</t>
  </si>
  <si>
    <t>污秽之柱释楼云</t>
  </si>
  <si>
    <t>若无似有小高冷</t>
  </si>
  <si>
    <t>板蓝根薯片</t>
  </si>
  <si>
    <t>有一腿.</t>
  </si>
  <si>
    <t>影流皇族</t>
  </si>
  <si>
    <t>蔷薇劍里见蔷薇</t>
  </si>
  <si>
    <t>薄野岚</t>
  </si>
  <si>
    <t>亲爱的霍比特人</t>
  </si>
  <si>
    <t>刀影夺魂</t>
  </si>
  <si>
    <t>望剑</t>
  </si>
  <si>
    <t>瞬杀残影</t>
  </si>
  <si>
    <t>旧梦丶如风</t>
  </si>
  <si>
    <t>北夕寒笙丶</t>
  </si>
  <si>
    <t>在下田师傅</t>
  </si>
  <si>
    <t>是1100下线</t>
  </si>
  <si>
    <t>醉丶红尘っ</t>
  </si>
  <si>
    <t>唐时御</t>
  </si>
  <si>
    <t>愁千殇</t>
  </si>
  <si>
    <t>心远地自翩</t>
  </si>
  <si>
    <t>我特吊</t>
  </si>
  <si>
    <t>鹿山丶培培</t>
  </si>
  <si>
    <t>㊦゛晴时雨ヾ。</t>
  </si>
  <si>
    <t>鹿山丶独孤</t>
  </si>
  <si>
    <t>大u哈</t>
  </si>
  <si>
    <t>西城诀＂</t>
  </si>
  <si>
    <t>竹下薄雾泛</t>
  </si>
  <si>
    <t>斗战圣佛孙悟空</t>
  </si>
  <si>
    <t>随你几时。</t>
  </si>
  <si>
    <t>北城别＂</t>
  </si>
  <si>
    <t>丶摇光丶</t>
  </si>
  <si>
    <t>东瀛浪人展梦魂</t>
  </si>
  <si>
    <t>落笔如歌歌如月</t>
  </si>
  <si>
    <t>云祗琉璃旧゛</t>
  </si>
  <si>
    <t>㊦慕柠゛㊦</t>
  </si>
  <si>
    <t>酱嘟噜酱瞳</t>
  </si>
  <si>
    <t>景雪怡</t>
  </si>
  <si>
    <t>臻臻无敌衰</t>
  </si>
  <si>
    <t>南邦佳人呀</t>
  </si>
  <si>
    <t>殇落</t>
  </si>
  <si>
    <t>丿几度度丶</t>
  </si>
  <si>
    <t>酱油酱紫</t>
  </si>
  <si>
    <t>凌凌要采莲</t>
  </si>
  <si>
    <t>堂堂唐青枫</t>
  </si>
  <si>
    <t>白沐衣</t>
  </si>
  <si>
    <t>高晟丰</t>
  </si>
  <si>
    <t>想君醉我梦中蝶</t>
  </si>
  <si>
    <t>荷上轻烟漫</t>
  </si>
  <si>
    <t>玉嫣</t>
  </si>
  <si>
    <t>刀锋之影丶尧</t>
  </si>
  <si>
    <t>青纪纱</t>
  </si>
  <si>
    <t>寒绯丶月</t>
  </si>
  <si>
    <t>如清如影歌ゎ</t>
  </si>
  <si>
    <t>江山难改丶洛</t>
  </si>
  <si>
    <t>小丑呵呵</t>
  </si>
  <si>
    <t>伴我几度。</t>
  </si>
  <si>
    <t>坂田金时丶</t>
  </si>
  <si>
    <t>墨小豌</t>
  </si>
  <si>
    <t>薏苡酱</t>
  </si>
  <si>
    <t>怒怒怒怒火</t>
  </si>
  <si>
    <t>任离流</t>
  </si>
  <si>
    <t>霖ゝ苏幕遮</t>
  </si>
  <si>
    <t>刀之芳华</t>
  </si>
  <si>
    <t>木清。</t>
  </si>
  <si>
    <t>㊦゛黑无常ヾ。</t>
  </si>
  <si>
    <t>何月凡</t>
  </si>
  <si>
    <t>裴述</t>
  </si>
  <si>
    <t>唐门王俊凯</t>
  </si>
  <si>
    <t>椒盐大虾丶</t>
  </si>
  <si>
    <t>丶天才小熊猫丶</t>
  </si>
  <si>
    <t>日无边</t>
  </si>
  <si>
    <t>Fatalbelief</t>
  </si>
  <si>
    <t>暖ぃ</t>
  </si>
  <si>
    <t>哆啦美ご</t>
  </si>
  <si>
    <t>Sakura丶道</t>
  </si>
  <si>
    <t>壹生</t>
  </si>
  <si>
    <t>゛香菇丶</t>
  </si>
  <si>
    <t>丰兰无息</t>
  </si>
  <si>
    <t>ヅ沐寒霜</t>
  </si>
  <si>
    <t>求球</t>
  </si>
  <si>
    <t>路鸣九天贰</t>
  </si>
  <si>
    <t>酒倾轻竹影</t>
  </si>
  <si>
    <t>辰夕灬</t>
  </si>
  <si>
    <t>丶时辰丶</t>
  </si>
  <si>
    <t>朱颜辞镜</t>
  </si>
  <si>
    <t>是衰不是帅</t>
  </si>
  <si>
    <t>叮当猫づ</t>
  </si>
  <si>
    <t>無為誰心</t>
  </si>
  <si>
    <t>浮生翩跹</t>
  </si>
  <si>
    <t>焚綾</t>
  </si>
  <si>
    <t>夜黯唯羽殇</t>
  </si>
  <si>
    <t>天命风流八荒</t>
  </si>
  <si>
    <t>无丶聊</t>
  </si>
  <si>
    <t>唐唐最傲天</t>
  </si>
  <si>
    <t>孤独飞雪</t>
  </si>
  <si>
    <t>怪怪小吥點</t>
  </si>
  <si>
    <t>羽洛剑</t>
  </si>
  <si>
    <t>黎卿歌</t>
  </si>
  <si>
    <t>陌尛汐</t>
  </si>
  <si>
    <t>请叫我小五哥</t>
  </si>
  <si>
    <t>轩伯颖</t>
  </si>
  <si>
    <t>欲挽游丝萦好梦</t>
  </si>
  <si>
    <t>渐渐消逝</t>
  </si>
  <si>
    <t>无知即力量</t>
  </si>
  <si>
    <t>村口萌萌的小达</t>
  </si>
  <si>
    <t>慕瑾流年</t>
  </si>
  <si>
    <t>蒹葭春羽</t>
  </si>
  <si>
    <t>丶森埋丶</t>
  </si>
  <si>
    <t>劍う玖</t>
  </si>
  <si>
    <t>晓乀脸冰凉</t>
  </si>
  <si>
    <t>小梨喵</t>
  </si>
  <si>
    <t>后街里的猪</t>
  </si>
  <si>
    <t>哎ゝ欧巴</t>
  </si>
  <si>
    <t>心晴</t>
  </si>
  <si>
    <t>万里烟云照</t>
  </si>
  <si>
    <t>하하凉冰。</t>
  </si>
  <si>
    <t>折扇很帅</t>
  </si>
  <si>
    <t>尔非我良人</t>
  </si>
  <si>
    <t>冷青旋</t>
  </si>
  <si>
    <t>岛屿丶H</t>
  </si>
  <si>
    <t>白丶寻</t>
  </si>
  <si>
    <t>桀桀灬</t>
  </si>
  <si>
    <t>陨星泪</t>
  </si>
  <si>
    <t>孤城佳人何在</t>
  </si>
  <si>
    <t>ぃ夏凝汐</t>
  </si>
  <si>
    <t>白敖雪</t>
  </si>
  <si>
    <t>丐姊</t>
  </si>
  <si>
    <t>并不是软妹子</t>
  </si>
  <si>
    <t>衣人</t>
  </si>
  <si>
    <t>柚子茶花丶</t>
  </si>
  <si>
    <t>咻萝</t>
  </si>
  <si>
    <t>騎單車的小貓</t>
  </si>
  <si>
    <t>结余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</si>
</sst>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1"/>
      <color theme="1"/>
      <name val="Calibri"/>
      <family val="2"/>
      <scheme val="minor"/>
    </font>
    <font>
      <sz val="10"/>
      <color rgb="FF000000"/>
      <name val="微软雅黑"/>
      <family val="2"/>
      <charset val="134"/>
    </font>
    <font>
      <sz val="12"/>
      <name val="宋体"/>
      <charset val="134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0" borderId="0"/>
    <xf numFmtId="0" fontId="3" fillId="0" borderId="0">
      <alignment vertical="center"/>
    </xf>
    <xf numFmtId="0" fontId="5" fillId="2" borderId="0" applyNumberFormat="0" applyBorder="0" applyAlignment="0" applyProtection="0"/>
    <xf numFmtId="0" fontId="4" fillId="3" borderId="1" applyNumberFormat="0" applyFont="0" applyAlignment="0" applyProtection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5" fillId="2" borderId="0" xfId="3"/>
    <xf numFmtId="0" fontId="6" fillId="3" borderId="1" xfId="4" applyFont="1" applyAlignment="1">
      <alignment horizontal="left"/>
    </xf>
    <xf numFmtId="0" fontId="5" fillId="2" borderId="0" xfId="3" applyAlignment="1"/>
    <xf numFmtId="0" fontId="5" fillId="2" borderId="0" xfId="3" applyAlignment="1">
      <alignment horizontal="left" vertical="center"/>
    </xf>
    <xf numFmtId="0" fontId="5" fillId="2" borderId="0" xfId="3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/>
    <xf numFmtId="0" fontId="5" fillId="2" borderId="0" xfId="3" applyAlignment="1">
      <alignment horizontal="center"/>
    </xf>
  </cellXfs>
  <cellStyles count="5">
    <cellStyle name="好" xfId="3" builtinId="26"/>
    <cellStyle name="常规" xfId="0" builtinId="0"/>
    <cellStyle name="常规 2" xfId="1"/>
    <cellStyle name="常规 3" xfId="2"/>
    <cellStyle name="注释" xfId="4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E580"/>
  <sheetViews>
    <sheetView workbookViewId="0">
      <selection activeCell="A3" sqref="A3:A387"/>
    </sheetView>
  </sheetViews>
  <sheetFormatPr defaultRowHeight="15"/>
  <cols>
    <col min="1" max="1" width="16.7109375" style="14" bestFit="1" customWidth="1"/>
    <col min="2" max="3" width="9.5703125" style="14" bestFit="1" customWidth="1"/>
    <col min="4" max="4" width="7.5703125" style="14" bestFit="1" customWidth="1"/>
    <col min="5" max="16384" width="9.140625" style="14"/>
  </cols>
  <sheetData>
    <row r="1" spans="1:4">
      <c r="A1" s="14" t="s">
        <v>26</v>
      </c>
      <c r="B1" s="14" t="s">
        <v>27</v>
      </c>
      <c r="C1" s="14" t="s">
        <v>28</v>
      </c>
      <c r="D1" s="14" t="s">
        <v>29</v>
      </c>
    </row>
    <row r="2" spans="1:4" hidden="1">
      <c r="A2" s="14" t="s">
        <v>161</v>
      </c>
      <c r="B2" s="14" t="s">
        <v>138</v>
      </c>
      <c r="C2" s="14">
        <v>143</v>
      </c>
      <c r="D2" s="14">
        <v>143</v>
      </c>
    </row>
    <row r="3" spans="1:4">
      <c r="A3" s="14" t="s">
        <v>358</v>
      </c>
      <c r="B3" s="14" t="s">
        <v>344</v>
      </c>
      <c r="C3" s="14">
        <v>135</v>
      </c>
      <c r="D3" s="14">
        <v>135</v>
      </c>
    </row>
    <row r="4" spans="1:4">
      <c r="A4" s="14" t="s">
        <v>446</v>
      </c>
      <c r="B4" s="14" t="s">
        <v>344</v>
      </c>
      <c r="C4" s="14">
        <v>133</v>
      </c>
      <c r="D4" s="14">
        <v>133</v>
      </c>
    </row>
    <row r="5" spans="1:4" hidden="1">
      <c r="A5" s="14" t="s">
        <v>46</v>
      </c>
      <c r="B5" s="14" t="s">
        <v>31</v>
      </c>
      <c r="C5" s="14">
        <v>129</v>
      </c>
      <c r="D5" s="14">
        <v>129</v>
      </c>
    </row>
    <row r="6" spans="1:4" hidden="1">
      <c r="A6" s="14" t="s">
        <v>150</v>
      </c>
      <c r="B6" s="14" t="s">
        <v>138</v>
      </c>
      <c r="C6" s="14">
        <v>129</v>
      </c>
      <c r="D6" s="14">
        <v>129</v>
      </c>
    </row>
    <row r="7" spans="1:4" hidden="1">
      <c r="A7" s="14" t="s">
        <v>142</v>
      </c>
      <c r="B7" s="14" t="s">
        <v>138</v>
      </c>
      <c r="C7" s="14">
        <v>127</v>
      </c>
      <c r="D7" s="14">
        <v>127</v>
      </c>
    </row>
    <row r="8" spans="1:4">
      <c r="A8" s="14" t="s">
        <v>362</v>
      </c>
      <c r="B8" s="14" t="s">
        <v>344</v>
      </c>
      <c r="C8" s="14">
        <v>127</v>
      </c>
      <c r="D8" s="14">
        <v>127</v>
      </c>
    </row>
    <row r="9" spans="1:4">
      <c r="A9" s="14" t="s">
        <v>48</v>
      </c>
      <c r="B9" s="14" t="s">
        <v>344</v>
      </c>
      <c r="C9" s="14">
        <v>126</v>
      </c>
      <c r="D9" s="14">
        <v>126</v>
      </c>
    </row>
    <row r="10" spans="1:4" hidden="1">
      <c r="A10" s="14" t="s">
        <v>517</v>
      </c>
      <c r="B10" s="14" t="s">
        <v>259</v>
      </c>
      <c r="C10" s="14">
        <v>126</v>
      </c>
      <c r="D10" s="14">
        <v>126</v>
      </c>
    </row>
    <row r="11" spans="1:4" hidden="1">
      <c r="A11" s="14" t="s">
        <v>140</v>
      </c>
      <c r="B11" s="14" t="s">
        <v>138</v>
      </c>
      <c r="C11" s="14">
        <v>125</v>
      </c>
      <c r="D11" s="14">
        <v>125</v>
      </c>
    </row>
    <row r="12" spans="1:4" hidden="1">
      <c r="A12" s="14" t="s">
        <v>520</v>
      </c>
      <c r="B12" s="14" t="s">
        <v>259</v>
      </c>
      <c r="C12" s="14">
        <v>125</v>
      </c>
      <c r="D12" s="14">
        <v>125</v>
      </c>
    </row>
    <row r="13" spans="1:4" hidden="1">
      <c r="A13" s="14" t="s">
        <v>166</v>
      </c>
      <c r="B13" s="14" t="s">
        <v>138</v>
      </c>
      <c r="C13" s="14">
        <v>125</v>
      </c>
      <c r="D13" s="14">
        <v>125</v>
      </c>
    </row>
    <row r="14" spans="1:4" hidden="1">
      <c r="A14" s="14" t="s">
        <v>42</v>
      </c>
      <c r="B14" s="14" t="s">
        <v>31</v>
      </c>
      <c r="C14" s="14">
        <v>125</v>
      </c>
      <c r="D14" s="14">
        <v>125</v>
      </c>
    </row>
    <row r="15" spans="1:4" hidden="1">
      <c r="A15" s="14" t="s">
        <v>177</v>
      </c>
      <c r="B15" s="14" t="s">
        <v>138</v>
      </c>
      <c r="C15" s="14">
        <v>125</v>
      </c>
      <c r="D15" s="14">
        <v>125</v>
      </c>
    </row>
    <row r="16" spans="1:4" hidden="1">
      <c r="A16" s="14" t="s">
        <v>167</v>
      </c>
      <c r="B16" s="14" t="s">
        <v>138</v>
      </c>
      <c r="C16" s="14">
        <v>125</v>
      </c>
      <c r="D16" s="14">
        <v>125</v>
      </c>
    </row>
    <row r="17" spans="1:4" hidden="1">
      <c r="A17" s="14" t="s">
        <v>156</v>
      </c>
      <c r="B17" s="14" t="s">
        <v>138</v>
      </c>
      <c r="C17" s="14">
        <v>125</v>
      </c>
      <c r="D17" s="14">
        <v>125</v>
      </c>
    </row>
    <row r="18" spans="1:4">
      <c r="A18" s="14" t="s">
        <v>420</v>
      </c>
      <c r="B18" s="14" t="s">
        <v>344</v>
      </c>
      <c r="C18" s="14">
        <v>125</v>
      </c>
      <c r="D18" s="14">
        <v>125</v>
      </c>
    </row>
    <row r="19" spans="1:4" hidden="1">
      <c r="A19" s="14" t="s">
        <v>265</v>
      </c>
      <c r="B19" s="14" t="s">
        <v>259</v>
      </c>
      <c r="C19" s="14">
        <v>125</v>
      </c>
      <c r="D19" s="14">
        <v>125</v>
      </c>
    </row>
    <row r="20" spans="1:4">
      <c r="A20" s="14" t="s">
        <v>350</v>
      </c>
      <c r="B20" s="14" t="s">
        <v>344</v>
      </c>
      <c r="C20" s="14">
        <v>125</v>
      </c>
      <c r="D20" s="14">
        <v>125</v>
      </c>
    </row>
    <row r="21" spans="1:4" hidden="1">
      <c r="A21" s="14" t="s">
        <v>18</v>
      </c>
      <c r="B21" s="14" t="s">
        <v>259</v>
      </c>
      <c r="C21" s="14">
        <v>125</v>
      </c>
      <c r="D21" s="14">
        <v>125</v>
      </c>
    </row>
    <row r="22" spans="1:4" hidden="1">
      <c r="A22" s="14" t="s">
        <v>43</v>
      </c>
      <c r="B22" s="14" t="s">
        <v>31</v>
      </c>
      <c r="C22" s="14">
        <v>125</v>
      </c>
      <c r="D22" s="14">
        <v>125</v>
      </c>
    </row>
    <row r="23" spans="1:4" hidden="1">
      <c r="A23" s="14" t="s">
        <v>137</v>
      </c>
      <c r="B23" s="14" t="s">
        <v>138</v>
      </c>
      <c r="C23" s="14">
        <v>125</v>
      </c>
      <c r="D23" s="14">
        <v>125</v>
      </c>
    </row>
    <row r="24" spans="1:4" hidden="1">
      <c r="A24" s="14" t="s">
        <v>163</v>
      </c>
      <c r="B24" s="14" t="s">
        <v>138</v>
      </c>
      <c r="C24" s="14">
        <v>125</v>
      </c>
      <c r="D24" s="14">
        <v>125</v>
      </c>
    </row>
    <row r="25" spans="1:4" hidden="1">
      <c r="A25" s="14" t="s">
        <v>56</v>
      </c>
      <c r="B25" s="14" t="s">
        <v>31</v>
      </c>
      <c r="C25" s="14">
        <v>119</v>
      </c>
      <c r="D25" s="14">
        <v>119</v>
      </c>
    </row>
    <row r="26" spans="1:4">
      <c r="A26" s="14" t="s">
        <v>353</v>
      </c>
      <c r="B26" s="14" t="s">
        <v>344</v>
      </c>
      <c r="C26" s="14">
        <v>115</v>
      </c>
      <c r="D26" s="14">
        <v>115</v>
      </c>
    </row>
    <row r="27" spans="1:4" hidden="1">
      <c r="A27" s="14" t="s">
        <v>550</v>
      </c>
      <c r="B27" s="14" t="s">
        <v>138</v>
      </c>
      <c r="C27" s="14">
        <v>115</v>
      </c>
      <c r="D27" s="14">
        <v>115</v>
      </c>
    </row>
    <row r="28" spans="1:4" hidden="1">
      <c r="A28" s="14" t="s">
        <v>266</v>
      </c>
      <c r="B28" s="14" t="s">
        <v>259</v>
      </c>
      <c r="C28" s="14">
        <v>114</v>
      </c>
      <c r="D28" s="14">
        <v>114</v>
      </c>
    </row>
    <row r="29" spans="1:4" hidden="1">
      <c r="A29" s="14" t="s">
        <v>33</v>
      </c>
      <c r="B29" s="14" t="s">
        <v>31</v>
      </c>
      <c r="C29" s="14">
        <v>113</v>
      </c>
      <c r="D29" s="14">
        <v>113</v>
      </c>
    </row>
    <row r="30" spans="1:4" hidden="1">
      <c r="A30" s="14" t="s">
        <v>32</v>
      </c>
      <c r="B30" s="14" t="s">
        <v>31</v>
      </c>
      <c r="C30" s="14">
        <v>110</v>
      </c>
      <c r="D30" s="14">
        <v>110</v>
      </c>
    </row>
    <row r="31" spans="1:4">
      <c r="A31" s="14" t="s">
        <v>347</v>
      </c>
      <c r="B31" s="14" t="s">
        <v>344</v>
      </c>
      <c r="C31" s="14">
        <v>110</v>
      </c>
      <c r="D31" s="14">
        <v>110</v>
      </c>
    </row>
    <row r="32" spans="1:4" hidden="1">
      <c r="A32" s="14" t="s">
        <v>267</v>
      </c>
      <c r="B32" s="14" t="s">
        <v>259</v>
      </c>
      <c r="C32" s="14">
        <v>108</v>
      </c>
      <c r="D32" s="14">
        <v>108</v>
      </c>
    </row>
    <row r="33" spans="1:4" hidden="1">
      <c r="A33" s="14" t="s">
        <v>67</v>
      </c>
      <c r="B33" s="14" t="s">
        <v>31</v>
      </c>
      <c r="C33" s="14">
        <v>106</v>
      </c>
      <c r="D33" s="14">
        <v>106</v>
      </c>
    </row>
    <row r="34" spans="1:4" hidden="1">
      <c r="A34" s="14" t="s">
        <v>183</v>
      </c>
      <c r="B34" s="14" t="s">
        <v>138</v>
      </c>
      <c r="C34" s="14">
        <v>106</v>
      </c>
      <c r="D34" s="14">
        <v>106</v>
      </c>
    </row>
    <row r="35" spans="1:4" hidden="1">
      <c r="A35" s="14" t="s">
        <v>36</v>
      </c>
      <c r="B35" s="14" t="s">
        <v>31</v>
      </c>
      <c r="C35" s="14">
        <v>106</v>
      </c>
      <c r="D35" s="14">
        <v>106</v>
      </c>
    </row>
    <row r="36" spans="1:4" hidden="1">
      <c r="A36" s="14" t="s">
        <v>144</v>
      </c>
      <c r="B36" s="14" t="s">
        <v>138</v>
      </c>
      <c r="C36" s="14">
        <v>106</v>
      </c>
      <c r="D36" s="14">
        <v>106</v>
      </c>
    </row>
    <row r="37" spans="1:4">
      <c r="A37" s="14" t="s">
        <v>359</v>
      </c>
      <c r="B37" s="14" t="s">
        <v>344</v>
      </c>
      <c r="C37" s="14">
        <v>106</v>
      </c>
      <c r="D37" s="14">
        <v>106</v>
      </c>
    </row>
    <row r="38" spans="1:4">
      <c r="A38" s="14" t="s">
        <v>345</v>
      </c>
      <c r="B38" s="14" t="s">
        <v>344</v>
      </c>
      <c r="C38" s="14">
        <v>106</v>
      </c>
      <c r="D38" s="14">
        <v>106</v>
      </c>
    </row>
    <row r="39" spans="1:4" hidden="1">
      <c r="A39" s="14" t="s">
        <v>174</v>
      </c>
      <c r="B39" s="14" t="s">
        <v>138</v>
      </c>
      <c r="C39" s="14">
        <v>106</v>
      </c>
      <c r="D39" s="14">
        <v>106</v>
      </c>
    </row>
    <row r="40" spans="1:4" hidden="1">
      <c r="A40" s="14" t="s">
        <v>271</v>
      </c>
      <c r="B40" s="14" t="s">
        <v>259</v>
      </c>
      <c r="C40" s="14">
        <v>105</v>
      </c>
      <c r="D40" s="14">
        <v>105</v>
      </c>
    </row>
    <row r="41" spans="1:4" hidden="1">
      <c r="A41" s="14" t="s">
        <v>513</v>
      </c>
      <c r="B41" s="14" t="s">
        <v>259</v>
      </c>
      <c r="C41" s="14">
        <v>105</v>
      </c>
      <c r="D41" s="14">
        <v>105</v>
      </c>
    </row>
    <row r="42" spans="1:4" hidden="1">
      <c r="A42" s="14" t="s">
        <v>325</v>
      </c>
      <c r="B42" s="14" t="s">
        <v>259</v>
      </c>
      <c r="C42" s="14">
        <v>105</v>
      </c>
      <c r="D42" s="14">
        <v>105</v>
      </c>
    </row>
    <row r="43" spans="1:4" hidden="1">
      <c r="A43" s="14" t="s">
        <v>260</v>
      </c>
      <c r="B43" s="14" t="s">
        <v>259</v>
      </c>
      <c r="C43" s="14">
        <v>105</v>
      </c>
      <c r="D43" s="14">
        <v>105</v>
      </c>
    </row>
    <row r="44" spans="1:4" hidden="1">
      <c r="A44" s="14" t="s">
        <v>258</v>
      </c>
      <c r="B44" s="14" t="s">
        <v>259</v>
      </c>
      <c r="C44" s="14">
        <v>105</v>
      </c>
      <c r="D44" s="14">
        <v>105</v>
      </c>
    </row>
    <row r="45" spans="1:4" hidden="1">
      <c r="A45" s="14" t="s">
        <v>484</v>
      </c>
      <c r="B45" s="14" t="s">
        <v>31</v>
      </c>
      <c r="C45" s="14">
        <v>105</v>
      </c>
      <c r="D45" s="14">
        <v>105</v>
      </c>
    </row>
    <row r="46" spans="1:4" hidden="1">
      <c r="A46" s="14" t="s">
        <v>554</v>
      </c>
      <c r="B46" s="14" t="s">
        <v>259</v>
      </c>
      <c r="C46" s="14">
        <v>105</v>
      </c>
      <c r="D46" s="14">
        <v>105</v>
      </c>
    </row>
    <row r="47" spans="1:4" hidden="1">
      <c r="A47" s="14" t="s">
        <v>557</v>
      </c>
      <c r="B47" s="14" t="s">
        <v>31</v>
      </c>
      <c r="C47" s="14">
        <v>105</v>
      </c>
      <c r="D47" s="14">
        <v>105</v>
      </c>
    </row>
    <row r="48" spans="1:4" hidden="1">
      <c r="A48" s="14" t="s">
        <v>269</v>
      </c>
      <c r="B48" s="14" t="s">
        <v>259</v>
      </c>
      <c r="C48" s="14">
        <v>105</v>
      </c>
      <c r="D48" s="14">
        <v>105</v>
      </c>
    </row>
    <row r="49" spans="1:4" hidden="1">
      <c r="A49" s="14" t="s">
        <v>558</v>
      </c>
      <c r="B49" s="14" t="s">
        <v>259</v>
      </c>
      <c r="C49" s="14">
        <v>105</v>
      </c>
      <c r="D49" s="14">
        <v>105</v>
      </c>
    </row>
    <row r="50" spans="1:4" hidden="1">
      <c r="A50" s="14" t="s">
        <v>551</v>
      </c>
      <c r="B50" s="14" t="s">
        <v>31</v>
      </c>
      <c r="C50" s="14">
        <v>105</v>
      </c>
      <c r="D50" s="14">
        <v>105</v>
      </c>
    </row>
    <row r="51" spans="1:4" hidden="1">
      <c r="A51" s="14" t="s">
        <v>270</v>
      </c>
      <c r="B51" s="14" t="s">
        <v>259</v>
      </c>
      <c r="C51" s="14">
        <v>105</v>
      </c>
      <c r="D51" s="14">
        <v>105</v>
      </c>
    </row>
    <row r="52" spans="1:4" hidden="1">
      <c r="A52" s="14" t="s">
        <v>326</v>
      </c>
      <c r="B52" s="14" t="s">
        <v>259</v>
      </c>
      <c r="C52" s="14">
        <v>105</v>
      </c>
      <c r="D52" s="14">
        <v>105</v>
      </c>
    </row>
    <row r="53" spans="1:4" hidden="1">
      <c r="A53" s="14" t="s">
        <v>496</v>
      </c>
      <c r="B53" s="14" t="s">
        <v>259</v>
      </c>
      <c r="C53" s="14">
        <v>105</v>
      </c>
      <c r="D53" s="14">
        <v>105</v>
      </c>
    </row>
    <row r="54" spans="1:4" hidden="1">
      <c r="A54" s="14" t="s">
        <v>559</v>
      </c>
      <c r="B54" s="14" t="s">
        <v>259</v>
      </c>
      <c r="C54" s="14">
        <v>105</v>
      </c>
      <c r="D54" s="14">
        <v>105</v>
      </c>
    </row>
    <row r="55" spans="1:4" hidden="1">
      <c r="A55" s="14" t="s">
        <v>53</v>
      </c>
      <c r="B55" s="14" t="s">
        <v>31</v>
      </c>
      <c r="C55" s="14">
        <v>105</v>
      </c>
      <c r="D55" s="14">
        <v>105</v>
      </c>
    </row>
    <row r="56" spans="1:4" hidden="1">
      <c r="A56" s="14" t="s">
        <v>511</v>
      </c>
      <c r="B56" s="14" t="s">
        <v>138</v>
      </c>
      <c r="C56" s="14">
        <v>105</v>
      </c>
      <c r="D56" s="14">
        <v>105</v>
      </c>
    </row>
    <row r="57" spans="1:4">
      <c r="A57" s="14" t="s">
        <v>361</v>
      </c>
      <c r="B57" s="14" t="s">
        <v>344</v>
      </c>
      <c r="C57" s="14">
        <v>105</v>
      </c>
      <c r="D57" s="14">
        <v>105</v>
      </c>
    </row>
    <row r="58" spans="1:4" hidden="1">
      <c r="A58" s="14" t="s">
        <v>40</v>
      </c>
      <c r="B58" s="14" t="s">
        <v>31</v>
      </c>
      <c r="C58" s="14">
        <v>105</v>
      </c>
      <c r="D58" s="14">
        <v>105</v>
      </c>
    </row>
    <row r="59" spans="1:4">
      <c r="A59" s="14" t="s">
        <v>346</v>
      </c>
      <c r="B59" s="14" t="s">
        <v>344</v>
      </c>
      <c r="C59" s="14">
        <v>105</v>
      </c>
      <c r="D59" s="14">
        <v>105</v>
      </c>
    </row>
    <row r="60" spans="1:4">
      <c r="A60" s="14" t="s">
        <v>352</v>
      </c>
      <c r="B60" s="14" t="s">
        <v>344</v>
      </c>
      <c r="C60" s="14">
        <v>105</v>
      </c>
      <c r="D60" s="14">
        <v>105</v>
      </c>
    </row>
    <row r="61" spans="1:4">
      <c r="A61" s="14" t="s">
        <v>388</v>
      </c>
      <c r="B61" s="14" t="s">
        <v>344</v>
      </c>
      <c r="C61" s="14">
        <v>105</v>
      </c>
      <c r="D61" s="14">
        <v>105</v>
      </c>
    </row>
    <row r="62" spans="1:4" hidden="1">
      <c r="A62" s="14" t="s">
        <v>193</v>
      </c>
      <c r="B62" s="14" t="s">
        <v>138</v>
      </c>
      <c r="C62" s="14">
        <v>105</v>
      </c>
      <c r="D62" s="14">
        <v>105</v>
      </c>
    </row>
    <row r="63" spans="1:4" hidden="1">
      <c r="A63" s="14" t="s">
        <v>45</v>
      </c>
      <c r="B63" s="14" t="s">
        <v>31</v>
      </c>
      <c r="C63" s="14">
        <v>105</v>
      </c>
      <c r="D63" s="14">
        <v>105</v>
      </c>
    </row>
    <row r="64" spans="1:4" hidden="1">
      <c r="A64" s="14" t="s">
        <v>44</v>
      </c>
      <c r="B64" s="14" t="s">
        <v>31</v>
      </c>
      <c r="C64" s="14">
        <v>105</v>
      </c>
      <c r="D64" s="14">
        <v>105</v>
      </c>
    </row>
    <row r="65" spans="1:4" hidden="1">
      <c r="A65" s="14" t="s">
        <v>169</v>
      </c>
      <c r="B65" s="14" t="s">
        <v>138</v>
      </c>
      <c r="C65" s="14">
        <v>105</v>
      </c>
      <c r="D65" s="14">
        <v>105</v>
      </c>
    </row>
    <row r="66" spans="1:4" hidden="1">
      <c r="A66" s="14" t="s">
        <v>159</v>
      </c>
      <c r="B66" s="14" t="s">
        <v>138</v>
      </c>
      <c r="C66" s="14">
        <v>105</v>
      </c>
      <c r="D66" s="14">
        <v>105</v>
      </c>
    </row>
    <row r="67" spans="1:4" hidden="1">
      <c r="A67" s="14" t="s">
        <v>151</v>
      </c>
      <c r="B67" s="14" t="s">
        <v>138</v>
      </c>
      <c r="C67" s="14">
        <v>105</v>
      </c>
      <c r="D67" s="14">
        <v>105</v>
      </c>
    </row>
    <row r="68" spans="1:4" hidden="1">
      <c r="A68" s="14" t="s">
        <v>153</v>
      </c>
      <c r="B68" s="14" t="s">
        <v>138</v>
      </c>
      <c r="C68" s="14">
        <v>105</v>
      </c>
      <c r="D68" s="14">
        <v>105</v>
      </c>
    </row>
    <row r="69" spans="1:4">
      <c r="A69" s="14" t="s">
        <v>560</v>
      </c>
      <c r="B69" s="14" t="s">
        <v>344</v>
      </c>
      <c r="C69" s="14">
        <v>105</v>
      </c>
      <c r="D69" s="14">
        <v>105</v>
      </c>
    </row>
    <row r="70" spans="1:4" hidden="1">
      <c r="A70" s="14" t="s">
        <v>30</v>
      </c>
      <c r="B70" s="14" t="s">
        <v>31</v>
      </c>
      <c r="C70" s="14">
        <v>101</v>
      </c>
      <c r="D70" s="14">
        <v>101</v>
      </c>
    </row>
    <row r="71" spans="1:4">
      <c r="A71" s="14" t="s">
        <v>343</v>
      </c>
      <c r="B71" s="14" t="s">
        <v>344</v>
      </c>
      <c r="C71" s="14">
        <v>91</v>
      </c>
      <c r="D71" s="14">
        <v>91</v>
      </c>
    </row>
    <row r="72" spans="1:4" hidden="1">
      <c r="A72" s="14" t="s">
        <v>154</v>
      </c>
      <c r="B72" s="14" t="s">
        <v>138</v>
      </c>
      <c r="C72" s="14">
        <v>90</v>
      </c>
      <c r="D72" s="14">
        <v>90</v>
      </c>
    </row>
    <row r="73" spans="1:4">
      <c r="A73" s="14" t="s">
        <v>440</v>
      </c>
      <c r="B73" s="14" t="s">
        <v>344</v>
      </c>
      <c r="C73" s="14">
        <v>90</v>
      </c>
      <c r="D73" s="14">
        <v>90</v>
      </c>
    </row>
    <row r="74" spans="1:4" hidden="1">
      <c r="A74" s="14" t="s">
        <v>139</v>
      </c>
      <c r="B74" s="14" t="s">
        <v>138</v>
      </c>
      <c r="C74" s="14">
        <v>90</v>
      </c>
      <c r="D74" s="14">
        <v>90</v>
      </c>
    </row>
    <row r="75" spans="1:4" hidden="1">
      <c r="A75" s="14" t="s">
        <v>263</v>
      </c>
      <c r="B75" s="14" t="s">
        <v>259</v>
      </c>
      <c r="C75" s="14">
        <v>90</v>
      </c>
      <c r="D75" s="14">
        <v>90</v>
      </c>
    </row>
    <row r="76" spans="1:4" hidden="1">
      <c r="A76" s="14" t="s">
        <v>514</v>
      </c>
      <c r="B76" s="14" t="s">
        <v>31</v>
      </c>
      <c r="C76" s="14">
        <v>90</v>
      </c>
      <c r="D76" s="14">
        <v>90</v>
      </c>
    </row>
    <row r="77" spans="1:4">
      <c r="A77" s="14" t="s">
        <v>445</v>
      </c>
      <c r="B77" s="14" t="s">
        <v>344</v>
      </c>
      <c r="C77" s="14">
        <v>90</v>
      </c>
      <c r="D77" s="14">
        <v>90</v>
      </c>
    </row>
    <row r="78" spans="1:4" hidden="1">
      <c r="A78" s="14" t="s">
        <v>141</v>
      </c>
      <c r="B78" s="14" t="s">
        <v>138</v>
      </c>
      <c r="C78" s="14">
        <v>90</v>
      </c>
      <c r="D78" s="14">
        <v>90</v>
      </c>
    </row>
    <row r="79" spans="1:4" hidden="1">
      <c r="A79" s="14" t="s">
        <v>534</v>
      </c>
      <c r="B79" s="14" t="s">
        <v>31</v>
      </c>
      <c r="C79" s="14">
        <v>90</v>
      </c>
      <c r="D79" s="14">
        <v>90</v>
      </c>
    </row>
    <row r="80" spans="1:4" hidden="1">
      <c r="A80" s="14" t="s">
        <v>519</v>
      </c>
      <c r="B80" s="14" t="s">
        <v>138</v>
      </c>
      <c r="C80" s="14">
        <v>90</v>
      </c>
      <c r="D80" s="14">
        <v>90</v>
      </c>
    </row>
    <row r="81" spans="1:4">
      <c r="A81" s="14" t="s">
        <v>355</v>
      </c>
      <c r="B81" s="14" t="s">
        <v>344</v>
      </c>
      <c r="C81" s="14">
        <v>90</v>
      </c>
      <c r="D81" s="14">
        <v>90</v>
      </c>
    </row>
    <row r="82" spans="1:4">
      <c r="A82" s="14" t="s">
        <v>349</v>
      </c>
      <c r="B82" s="14" t="s">
        <v>344</v>
      </c>
      <c r="C82" s="14">
        <v>90</v>
      </c>
      <c r="D82" s="14">
        <v>90</v>
      </c>
    </row>
    <row r="83" spans="1:4" hidden="1">
      <c r="A83" s="14" t="s">
        <v>483</v>
      </c>
      <c r="B83" s="14" t="s">
        <v>138</v>
      </c>
      <c r="C83" s="14">
        <v>90</v>
      </c>
      <c r="D83" s="14">
        <v>90</v>
      </c>
    </row>
    <row r="84" spans="1:4" hidden="1">
      <c r="A84" s="14" t="s">
        <v>162</v>
      </c>
      <c r="B84" s="14" t="s">
        <v>138</v>
      </c>
      <c r="C84" s="14">
        <v>90</v>
      </c>
      <c r="D84" s="14">
        <v>90</v>
      </c>
    </row>
    <row r="85" spans="1:4" hidden="1">
      <c r="A85" s="14" t="s">
        <v>173</v>
      </c>
      <c r="B85" s="14" t="s">
        <v>138</v>
      </c>
      <c r="C85" s="14">
        <v>90</v>
      </c>
      <c r="D85" s="14">
        <v>90</v>
      </c>
    </row>
    <row r="86" spans="1:4" hidden="1">
      <c r="A86" s="14" t="s">
        <v>19</v>
      </c>
      <c r="B86" s="14" t="s">
        <v>31</v>
      </c>
      <c r="C86" s="14">
        <v>89</v>
      </c>
      <c r="D86" s="14">
        <v>89</v>
      </c>
    </row>
    <row r="87" spans="1:4" hidden="1">
      <c r="A87" s="14" t="s">
        <v>489</v>
      </c>
      <c r="B87" s="14" t="s">
        <v>31</v>
      </c>
      <c r="C87" s="14">
        <v>79</v>
      </c>
      <c r="D87" s="14">
        <v>79</v>
      </c>
    </row>
    <row r="88" spans="1:4" hidden="1">
      <c r="A88" s="14" t="s">
        <v>237</v>
      </c>
      <c r="B88" s="14" t="s">
        <v>138</v>
      </c>
      <c r="C88" s="14">
        <v>76</v>
      </c>
      <c r="D88" s="14">
        <v>76</v>
      </c>
    </row>
    <row r="89" spans="1:4">
      <c r="A89" s="14" t="s">
        <v>447</v>
      </c>
      <c r="B89" s="14" t="s">
        <v>344</v>
      </c>
      <c r="C89" s="14">
        <v>74</v>
      </c>
      <c r="D89" s="14">
        <v>74</v>
      </c>
    </row>
    <row r="90" spans="1:4" hidden="1">
      <c r="A90" s="14" t="s">
        <v>165</v>
      </c>
      <c r="B90" s="14" t="s">
        <v>138</v>
      </c>
      <c r="C90" s="14">
        <v>73</v>
      </c>
      <c r="D90" s="14">
        <v>73</v>
      </c>
    </row>
    <row r="91" spans="1:4" hidden="1">
      <c r="A91" s="14" t="s">
        <v>152</v>
      </c>
      <c r="B91" s="14" t="s">
        <v>138</v>
      </c>
      <c r="C91" s="14">
        <v>73</v>
      </c>
      <c r="D91" s="14">
        <v>73</v>
      </c>
    </row>
    <row r="92" spans="1:4" hidden="1">
      <c r="A92" s="14" t="s">
        <v>281</v>
      </c>
      <c r="B92" s="14" t="s">
        <v>259</v>
      </c>
      <c r="C92" s="14">
        <v>72</v>
      </c>
      <c r="D92" s="14">
        <v>72</v>
      </c>
    </row>
    <row r="93" spans="1:4" hidden="1">
      <c r="A93" s="14" t="s">
        <v>148</v>
      </c>
      <c r="B93" s="14" t="s">
        <v>138</v>
      </c>
      <c r="C93" s="14">
        <v>72</v>
      </c>
      <c r="D93" s="14">
        <v>72</v>
      </c>
    </row>
    <row r="94" spans="1:4">
      <c r="A94" s="14" t="s">
        <v>20</v>
      </c>
      <c r="B94" s="14" t="s">
        <v>344</v>
      </c>
      <c r="C94" s="14">
        <v>71</v>
      </c>
      <c r="D94" s="14">
        <v>71</v>
      </c>
    </row>
    <row r="95" spans="1:4" hidden="1">
      <c r="A95" s="14" t="s">
        <v>485</v>
      </c>
      <c r="B95" s="14" t="s">
        <v>138</v>
      </c>
      <c r="C95" s="14">
        <v>71</v>
      </c>
      <c r="D95" s="14">
        <v>71</v>
      </c>
    </row>
    <row r="96" spans="1:4">
      <c r="A96" s="14" t="s">
        <v>371</v>
      </c>
      <c r="B96" s="14" t="s">
        <v>344</v>
      </c>
      <c r="C96" s="14">
        <v>71</v>
      </c>
      <c r="D96" s="14">
        <v>71</v>
      </c>
    </row>
    <row r="97" spans="1:4" hidden="1">
      <c r="A97" s="14" t="s">
        <v>320</v>
      </c>
      <c r="B97" s="14" t="s">
        <v>259</v>
      </c>
      <c r="C97" s="14">
        <v>71</v>
      </c>
      <c r="D97" s="14">
        <v>71</v>
      </c>
    </row>
    <row r="98" spans="1:4" hidden="1">
      <c r="A98" s="14" t="s">
        <v>302</v>
      </c>
      <c r="B98" s="14" t="s">
        <v>259</v>
      </c>
      <c r="C98" s="14">
        <v>71</v>
      </c>
      <c r="D98" s="14">
        <v>71</v>
      </c>
    </row>
    <row r="99" spans="1:4" hidden="1">
      <c r="A99" s="14" t="s">
        <v>51</v>
      </c>
      <c r="B99" s="14" t="s">
        <v>31</v>
      </c>
      <c r="C99" s="14">
        <v>71</v>
      </c>
      <c r="D99" s="14">
        <v>70</v>
      </c>
    </row>
    <row r="100" spans="1:4">
      <c r="A100" s="14" t="s">
        <v>443</v>
      </c>
      <c r="B100" s="14" t="s">
        <v>344</v>
      </c>
      <c r="C100" s="14">
        <v>71</v>
      </c>
      <c r="D100" s="14">
        <v>71</v>
      </c>
    </row>
    <row r="101" spans="1:4" hidden="1">
      <c r="A101" s="14" t="s">
        <v>172</v>
      </c>
      <c r="B101" s="14" t="s">
        <v>138</v>
      </c>
      <c r="C101" s="14">
        <v>70</v>
      </c>
      <c r="D101" s="14">
        <v>70</v>
      </c>
    </row>
    <row r="102" spans="1:4" hidden="1">
      <c r="A102" s="14" t="s">
        <v>179</v>
      </c>
      <c r="B102" s="14" t="s">
        <v>138</v>
      </c>
      <c r="C102" s="14">
        <v>70</v>
      </c>
      <c r="D102" s="14">
        <v>70</v>
      </c>
    </row>
    <row r="103" spans="1:4" hidden="1">
      <c r="A103" s="14" t="s">
        <v>70</v>
      </c>
      <c r="B103" s="14" t="s">
        <v>31</v>
      </c>
      <c r="C103" s="14">
        <v>70</v>
      </c>
      <c r="D103" s="14">
        <v>70</v>
      </c>
    </row>
    <row r="104" spans="1:4">
      <c r="A104" s="14" t="s">
        <v>360</v>
      </c>
      <c r="B104" s="14" t="s">
        <v>344</v>
      </c>
      <c r="C104" s="14">
        <v>70</v>
      </c>
      <c r="D104" s="14">
        <v>70</v>
      </c>
    </row>
    <row r="105" spans="1:4" hidden="1">
      <c r="A105" s="14" t="s">
        <v>146</v>
      </c>
      <c r="B105" s="14" t="s">
        <v>138</v>
      </c>
      <c r="C105" s="14">
        <v>70</v>
      </c>
      <c r="D105" s="14">
        <v>70</v>
      </c>
    </row>
    <row r="106" spans="1:4" hidden="1">
      <c r="A106" s="14" t="s">
        <v>164</v>
      </c>
      <c r="B106" s="14" t="s">
        <v>138</v>
      </c>
      <c r="C106" s="14">
        <v>70</v>
      </c>
      <c r="D106" s="14">
        <v>70</v>
      </c>
    </row>
    <row r="107" spans="1:4" hidden="1">
      <c r="A107" s="14" t="s">
        <v>486</v>
      </c>
      <c r="B107" s="14" t="s">
        <v>138</v>
      </c>
      <c r="C107" s="14">
        <v>70</v>
      </c>
      <c r="D107" s="14">
        <v>70</v>
      </c>
    </row>
    <row r="108" spans="1:4" hidden="1">
      <c r="A108" s="14" t="s">
        <v>243</v>
      </c>
      <c r="B108" s="14" t="s">
        <v>138</v>
      </c>
      <c r="C108" s="14">
        <v>70</v>
      </c>
      <c r="D108" s="14">
        <v>70</v>
      </c>
    </row>
    <row r="109" spans="1:4">
      <c r="A109" s="14" t="s">
        <v>357</v>
      </c>
      <c r="B109" s="14" t="s">
        <v>344</v>
      </c>
      <c r="C109" s="14">
        <v>70</v>
      </c>
      <c r="D109" s="14">
        <v>70</v>
      </c>
    </row>
    <row r="110" spans="1:4" hidden="1">
      <c r="A110" s="14" t="s">
        <v>38</v>
      </c>
      <c r="B110" s="14" t="s">
        <v>31</v>
      </c>
      <c r="C110" s="14">
        <v>70</v>
      </c>
      <c r="D110" s="14">
        <v>70</v>
      </c>
    </row>
    <row r="111" spans="1:4" hidden="1">
      <c r="A111" s="14" t="s">
        <v>39</v>
      </c>
      <c r="B111" s="14" t="s">
        <v>31</v>
      </c>
      <c r="C111" s="14">
        <v>70</v>
      </c>
      <c r="D111" s="14">
        <v>70</v>
      </c>
    </row>
    <row r="112" spans="1:4" hidden="1">
      <c r="A112" s="14" t="s">
        <v>181</v>
      </c>
      <c r="B112" s="14" t="s">
        <v>138</v>
      </c>
      <c r="C112" s="14">
        <v>70</v>
      </c>
      <c r="D112" s="14">
        <v>70</v>
      </c>
    </row>
    <row r="113" spans="1:4" hidden="1">
      <c r="A113" s="14" t="s">
        <v>206</v>
      </c>
      <c r="B113" s="14" t="s">
        <v>138</v>
      </c>
      <c r="C113" s="14">
        <v>70</v>
      </c>
      <c r="D113" s="14">
        <v>70</v>
      </c>
    </row>
    <row r="114" spans="1:4" hidden="1">
      <c r="A114" s="14" t="s">
        <v>335</v>
      </c>
      <c r="B114" s="14" t="s">
        <v>138</v>
      </c>
      <c r="C114" s="14">
        <v>70</v>
      </c>
      <c r="D114" s="14">
        <v>70</v>
      </c>
    </row>
    <row r="115" spans="1:4" hidden="1">
      <c r="A115" s="14" t="s">
        <v>187</v>
      </c>
      <c r="B115" s="14" t="s">
        <v>138</v>
      </c>
      <c r="C115" s="14">
        <v>70</v>
      </c>
      <c r="D115" s="14">
        <v>70</v>
      </c>
    </row>
    <row r="116" spans="1:4">
      <c r="A116" s="14" t="s">
        <v>356</v>
      </c>
      <c r="B116" s="14" t="s">
        <v>344</v>
      </c>
      <c r="C116" s="14">
        <v>70</v>
      </c>
      <c r="D116" s="14">
        <v>70</v>
      </c>
    </row>
    <row r="117" spans="1:4" hidden="1">
      <c r="A117" s="14" t="s">
        <v>41</v>
      </c>
      <c r="B117" s="14" t="s">
        <v>31</v>
      </c>
      <c r="C117" s="14">
        <v>70</v>
      </c>
      <c r="D117" s="14">
        <v>70</v>
      </c>
    </row>
    <row r="118" spans="1:4" hidden="1">
      <c r="A118" s="14" t="s">
        <v>537</v>
      </c>
      <c r="B118" s="14" t="s">
        <v>31</v>
      </c>
      <c r="C118" s="14">
        <v>70</v>
      </c>
      <c r="D118" s="14">
        <v>70</v>
      </c>
    </row>
    <row r="119" spans="1:4" hidden="1">
      <c r="A119" s="14" t="s">
        <v>180</v>
      </c>
      <c r="B119" s="14" t="s">
        <v>138</v>
      </c>
      <c r="C119" s="14">
        <v>70</v>
      </c>
      <c r="D119" s="14">
        <v>70</v>
      </c>
    </row>
    <row r="120" spans="1:4" hidden="1">
      <c r="A120" s="14" t="s">
        <v>213</v>
      </c>
      <c r="B120" s="14" t="s">
        <v>138</v>
      </c>
      <c r="C120" s="14">
        <v>70</v>
      </c>
      <c r="D120" s="14">
        <v>70</v>
      </c>
    </row>
    <row r="121" spans="1:4" hidden="1">
      <c r="A121" s="14" t="s">
        <v>488</v>
      </c>
      <c r="B121" s="14" t="s">
        <v>138</v>
      </c>
      <c r="C121" s="14">
        <v>70</v>
      </c>
      <c r="D121" s="14">
        <v>70</v>
      </c>
    </row>
    <row r="122" spans="1:4">
      <c r="A122" s="14" t="s">
        <v>561</v>
      </c>
      <c r="B122" s="14" t="s">
        <v>344</v>
      </c>
      <c r="C122" s="14">
        <v>70</v>
      </c>
      <c r="D122" s="14">
        <v>70</v>
      </c>
    </row>
    <row r="123" spans="1:4">
      <c r="A123" s="14" t="s">
        <v>441</v>
      </c>
      <c r="B123" s="14" t="s">
        <v>344</v>
      </c>
      <c r="C123" s="14">
        <v>70</v>
      </c>
      <c r="D123" s="14">
        <v>70</v>
      </c>
    </row>
    <row r="124" spans="1:4">
      <c r="A124" s="14" t="s">
        <v>351</v>
      </c>
      <c r="B124" s="14" t="s">
        <v>344</v>
      </c>
      <c r="C124" s="14">
        <v>70</v>
      </c>
      <c r="D124" s="14">
        <v>70</v>
      </c>
    </row>
    <row r="125" spans="1:4">
      <c r="A125" s="14" t="s">
        <v>562</v>
      </c>
      <c r="B125" s="14" t="s">
        <v>344</v>
      </c>
      <c r="C125" s="14">
        <v>70</v>
      </c>
      <c r="D125" s="14">
        <v>70</v>
      </c>
    </row>
    <row r="126" spans="1:4" hidden="1">
      <c r="A126" s="14" t="s">
        <v>217</v>
      </c>
      <c r="B126" s="14" t="s">
        <v>138</v>
      </c>
      <c r="C126" s="14">
        <v>70</v>
      </c>
      <c r="D126" s="14">
        <v>70</v>
      </c>
    </row>
    <row r="127" spans="1:4" hidden="1">
      <c r="A127" s="14" t="s">
        <v>194</v>
      </c>
      <c r="B127" s="14" t="s">
        <v>138</v>
      </c>
      <c r="C127" s="14">
        <v>70</v>
      </c>
      <c r="D127" s="14">
        <v>70</v>
      </c>
    </row>
    <row r="128" spans="1:4">
      <c r="A128" s="14" t="s">
        <v>442</v>
      </c>
      <c r="B128" s="14" t="s">
        <v>344</v>
      </c>
      <c r="C128" s="14">
        <v>70</v>
      </c>
      <c r="D128" s="14">
        <v>70</v>
      </c>
    </row>
    <row r="129" spans="1:4" hidden="1">
      <c r="A129" s="14" t="s">
        <v>170</v>
      </c>
      <c r="B129" s="14" t="s">
        <v>138</v>
      </c>
      <c r="C129" s="14">
        <v>70</v>
      </c>
      <c r="D129" s="14">
        <v>70</v>
      </c>
    </row>
    <row r="130" spans="1:4">
      <c r="A130" s="14" t="s">
        <v>444</v>
      </c>
      <c r="B130" s="14" t="s">
        <v>344</v>
      </c>
      <c r="C130" s="14">
        <v>70</v>
      </c>
      <c r="D130" s="14">
        <v>70</v>
      </c>
    </row>
    <row r="131" spans="1:4" hidden="1">
      <c r="A131" s="14" t="s">
        <v>157</v>
      </c>
      <c r="B131" s="14" t="s">
        <v>138</v>
      </c>
      <c r="C131" s="14">
        <v>70</v>
      </c>
      <c r="D131" s="14">
        <v>70</v>
      </c>
    </row>
    <row r="132" spans="1:4" hidden="1">
      <c r="A132" s="14" t="s">
        <v>196</v>
      </c>
      <c r="B132" s="14" t="s">
        <v>138</v>
      </c>
      <c r="C132" s="14">
        <v>70</v>
      </c>
      <c r="D132" s="14">
        <v>70</v>
      </c>
    </row>
    <row r="133" spans="1:4" hidden="1">
      <c r="A133" s="14" t="s">
        <v>262</v>
      </c>
      <c r="B133" s="14" t="s">
        <v>259</v>
      </c>
      <c r="C133" s="14">
        <v>70</v>
      </c>
      <c r="D133" s="14">
        <v>70</v>
      </c>
    </row>
    <row r="134" spans="1:4" hidden="1">
      <c r="A134" s="14" t="s">
        <v>329</v>
      </c>
      <c r="B134" s="14" t="s">
        <v>259</v>
      </c>
      <c r="C134" s="14">
        <v>70</v>
      </c>
      <c r="D134" s="14">
        <v>70</v>
      </c>
    </row>
    <row r="135" spans="1:4" hidden="1">
      <c r="A135" s="14" t="s">
        <v>563</v>
      </c>
      <c r="B135" s="14" t="s">
        <v>31</v>
      </c>
      <c r="C135" s="14">
        <v>70</v>
      </c>
      <c r="D135" s="14">
        <v>70</v>
      </c>
    </row>
    <row r="136" spans="1:4" hidden="1">
      <c r="A136" s="14" t="s">
        <v>436</v>
      </c>
      <c r="B136" s="14" t="s">
        <v>259</v>
      </c>
      <c r="C136" s="14">
        <v>70</v>
      </c>
      <c r="D136" s="14">
        <v>70</v>
      </c>
    </row>
    <row r="137" spans="1:4" hidden="1">
      <c r="A137" s="14" t="s">
        <v>552</v>
      </c>
      <c r="B137" s="14" t="s">
        <v>259</v>
      </c>
      <c r="C137" s="14">
        <v>70</v>
      </c>
      <c r="D137" s="14">
        <v>70</v>
      </c>
    </row>
    <row r="138" spans="1:4" hidden="1">
      <c r="A138" s="14" t="s">
        <v>521</v>
      </c>
      <c r="B138" s="14" t="s">
        <v>259</v>
      </c>
      <c r="C138" s="14">
        <v>70</v>
      </c>
      <c r="D138" s="14">
        <v>70</v>
      </c>
    </row>
    <row r="139" spans="1:4" hidden="1">
      <c r="A139" s="14" t="s">
        <v>126</v>
      </c>
      <c r="B139" s="14" t="s">
        <v>31</v>
      </c>
      <c r="C139" s="14">
        <v>70</v>
      </c>
      <c r="D139" s="14">
        <v>70</v>
      </c>
    </row>
    <row r="140" spans="1:4" hidden="1">
      <c r="A140" s="14" t="s">
        <v>295</v>
      </c>
      <c r="B140" s="14" t="s">
        <v>259</v>
      </c>
      <c r="C140" s="14">
        <v>70</v>
      </c>
      <c r="D140" s="14">
        <v>70</v>
      </c>
    </row>
    <row r="141" spans="1:4" hidden="1">
      <c r="A141" s="14" t="s">
        <v>34</v>
      </c>
      <c r="B141" s="14" t="s">
        <v>31</v>
      </c>
      <c r="C141" s="14">
        <v>70</v>
      </c>
      <c r="D141" s="14">
        <v>70</v>
      </c>
    </row>
    <row r="142" spans="1:4" hidden="1">
      <c r="A142" s="14" t="s">
        <v>509</v>
      </c>
      <c r="B142" s="14" t="s">
        <v>259</v>
      </c>
      <c r="C142" s="14">
        <v>70</v>
      </c>
      <c r="D142" s="14">
        <v>70</v>
      </c>
    </row>
    <row r="143" spans="1:4" hidden="1">
      <c r="A143" s="14" t="s">
        <v>35</v>
      </c>
      <c r="B143" s="14" t="s">
        <v>31</v>
      </c>
      <c r="C143" s="14">
        <v>70</v>
      </c>
      <c r="D143" s="14">
        <v>70</v>
      </c>
    </row>
    <row r="144" spans="1:4" hidden="1">
      <c r="A144" s="14" t="s">
        <v>564</v>
      </c>
      <c r="B144" s="14" t="s">
        <v>259</v>
      </c>
      <c r="C144" s="14">
        <v>70</v>
      </c>
      <c r="D144" s="14">
        <v>70</v>
      </c>
    </row>
    <row r="145" spans="1:4" hidden="1">
      <c r="A145" s="14" t="s">
        <v>324</v>
      </c>
      <c r="B145" s="14" t="s">
        <v>259</v>
      </c>
      <c r="C145" s="14">
        <v>70</v>
      </c>
      <c r="D145" s="14">
        <v>70</v>
      </c>
    </row>
    <row r="146" spans="1:4" hidden="1">
      <c r="A146" s="14" t="s">
        <v>124</v>
      </c>
      <c r="B146" s="14" t="s">
        <v>31</v>
      </c>
      <c r="C146" s="14">
        <v>70</v>
      </c>
      <c r="D146" s="14">
        <v>70</v>
      </c>
    </row>
    <row r="147" spans="1:4" hidden="1">
      <c r="A147" s="14" t="s">
        <v>268</v>
      </c>
      <c r="B147" s="14" t="s">
        <v>259</v>
      </c>
      <c r="C147" s="14">
        <v>70</v>
      </c>
      <c r="D147" s="14">
        <v>70</v>
      </c>
    </row>
    <row r="148" spans="1:4" hidden="1">
      <c r="A148" s="14" t="s">
        <v>487</v>
      </c>
      <c r="B148" s="14" t="s">
        <v>31</v>
      </c>
      <c r="C148" s="14">
        <v>70</v>
      </c>
      <c r="D148" s="14">
        <v>70</v>
      </c>
    </row>
    <row r="149" spans="1:4" hidden="1">
      <c r="A149" s="14" t="s">
        <v>52</v>
      </c>
      <c r="B149" s="14" t="s">
        <v>31</v>
      </c>
      <c r="C149" s="14">
        <v>70</v>
      </c>
      <c r="D149" s="14">
        <v>70</v>
      </c>
    </row>
    <row r="150" spans="1:4" hidden="1">
      <c r="A150" s="14" t="s">
        <v>261</v>
      </c>
      <c r="B150" s="14" t="s">
        <v>259</v>
      </c>
      <c r="C150" s="14">
        <v>70</v>
      </c>
      <c r="D150" s="14">
        <v>70</v>
      </c>
    </row>
    <row r="151" spans="1:4" hidden="1">
      <c r="A151" s="14" t="s">
        <v>317</v>
      </c>
      <c r="B151" s="14" t="s">
        <v>259</v>
      </c>
      <c r="C151" s="14">
        <v>70</v>
      </c>
      <c r="D151" s="14">
        <v>70</v>
      </c>
    </row>
    <row r="152" spans="1:4" hidden="1">
      <c r="A152" s="14" t="s">
        <v>565</v>
      </c>
      <c r="B152" s="14" t="s">
        <v>259</v>
      </c>
      <c r="C152" s="14">
        <v>70</v>
      </c>
      <c r="D152" s="14">
        <v>70</v>
      </c>
    </row>
    <row r="153" spans="1:4" hidden="1">
      <c r="A153" s="14" t="s">
        <v>316</v>
      </c>
      <c r="B153" s="14" t="s">
        <v>259</v>
      </c>
      <c r="C153" s="14">
        <v>70</v>
      </c>
      <c r="D153" s="14">
        <v>70</v>
      </c>
    </row>
    <row r="154" spans="1:4" hidden="1">
      <c r="A154" s="14" t="s">
        <v>566</v>
      </c>
      <c r="B154" s="14" t="s">
        <v>31</v>
      </c>
      <c r="C154" s="14">
        <v>70</v>
      </c>
      <c r="D154" s="14">
        <v>70</v>
      </c>
    </row>
    <row r="155" spans="1:4" hidden="1">
      <c r="A155" s="14" t="s">
        <v>567</v>
      </c>
      <c r="B155" s="14" t="s">
        <v>259</v>
      </c>
      <c r="C155" s="14">
        <v>70</v>
      </c>
      <c r="D155" s="14">
        <v>70</v>
      </c>
    </row>
    <row r="156" spans="1:4" hidden="1">
      <c r="A156" s="14" t="s">
        <v>307</v>
      </c>
      <c r="B156" s="14" t="s">
        <v>259</v>
      </c>
      <c r="C156" s="14">
        <v>70</v>
      </c>
      <c r="D156" s="14">
        <v>70</v>
      </c>
    </row>
    <row r="157" spans="1:4" hidden="1">
      <c r="A157" s="14" t="s">
        <v>543</v>
      </c>
      <c r="B157" s="14" t="s">
        <v>259</v>
      </c>
      <c r="C157" s="14">
        <v>70</v>
      </c>
      <c r="D157" s="14">
        <v>70</v>
      </c>
    </row>
    <row r="158" spans="1:4" hidden="1">
      <c r="A158" s="14" t="s">
        <v>133</v>
      </c>
      <c r="B158" s="14" t="s">
        <v>31</v>
      </c>
      <c r="C158" s="14">
        <v>70</v>
      </c>
      <c r="D158" s="14">
        <v>70</v>
      </c>
    </row>
    <row r="159" spans="1:4" hidden="1">
      <c r="A159" s="14" t="s">
        <v>528</v>
      </c>
      <c r="B159" s="14" t="s">
        <v>259</v>
      </c>
      <c r="C159" s="14">
        <v>70</v>
      </c>
      <c r="D159" s="14">
        <v>70</v>
      </c>
    </row>
    <row r="160" spans="1:4" hidden="1">
      <c r="A160" s="14" t="s">
        <v>47</v>
      </c>
      <c r="B160" s="14" t="s">
        <v>259</v>
      </c>
      <c r="C160" s="14">
        <v>70</v>
      </c>
      <c r="D160" s="14">
        <v>70</v>
      </c>
    </row>
    <row r="161" spans="1:4" hidden="1">
      <c r="A161" s="14" t="s">
        <v>257</v>
      </c>
      <c r="B161" s="14" t="s">
        <v>138</v>
      </c>
      <c r="C161" s="14">
        <v>70</v>
      </c>
      <c r="D161" s="14">
        <v>70</v>
      </c>
    </row>
    <row r="162" spans="1:4" hidden="1">
      <c r="A162" s="14" t="s">
        <v>186</v>
      </c>
      <c r="B162" s="14" t="s">
        <v>138</v>
      </c>
      <c r="C162" s="14">
        <v>70</v>
      </c>
      <c r="D162" s="14">
        <v>70</v>
      </c>
    </row>
    <row r="163" spans="1:4" hidden="1">
      <c r="A163" s="14" t="s">
        <v>256</v>
      </c>
      <c r="B163" s="14" t="s">
        <v>138</v>
      </c>
      <c r="C163" s="14">
        <v>70</v>
      </c>
      <c r="D163" s="14">
        <v>70</v>
      </c>
    </row>
    <row r="164" spans="1:4" hidden="1">
      <c r="A164" s="14" t="s">
        <v>185</v>
      </c>
      <c r="B164" s="14" t="s">
        <v>138</v>
      </c>
      <c r="C164" s="14">
        <v>70</v>
      </c>
      <c r="D164" s="14">
        <v>70</v>
      </c>
    </row>
    <row r="165" spans="1:4">
      <c r="A165" s="14" t="s">
        <v>425</v>
      </c>
      <c r="B165" s="14" t="s">
        <v>344</v>
      </c>
      <c r="C165" s="14">
        <v>55</v>
      </c>
      <c r="D165" s="14">
        <v>55</v>
      </c>
    </row>
    <row r="166" spans="1:4" hidden="1">
      <c r="A166" s="14" t="s">
        <v>232</v>
      </c>
      <c r="B166" s="14" t="s">
        <v>138</v>
      </c>
      <c r="C166" s="14">
        <v>55</v>
      </c>
      <c r="D166" s="14">
        <v>55</v>
      </c>
    </row>
    <row r="167" spans="1:4" hidden="1">
      <c r="A167" s="14" t="s">
        <v>49</v>
      </c>
      <c r="B167" s="14" t="s">
        <v>31</v>
      </c>
      <c r="C167" s="14">
        <v>38</v>
      </c>
      <c r="D167" s="14">
        <v>38</v>
      </c>
    </row>
    <row r="168" spans="1:4" hidden="1">
      <c r="A168" s="14" t="s">
        <v>189</v>
      </c>
      <c r="B168" s="14" t="s">
        <v>138</v>
      </c>
      <c r="C168" s="14">
        <v>36</v>
      </c>
      <c r="D168" s="14">
        <v>36</v>
      </c>
    </row>
    <row r="169" spans="1:4" hidden="1">
      <c r="A169" s="14" t="s">
        <v>176</v>
      </c>
      <c r="B169" s="14" t="s">
        <v>138</v>
      </c>
      <c r="C169" s="14">
        <v>35</v>
      </c>
      <c r="D169" s="14">
        <v>35</v>
      </c>
    </row>
    <row r="170" spans="1:4" hidden="1">
      <c r="A170" s="14" t="s">
        <v>568</v>
      </c>
      <c r="B170" s="14" t="s">
        <v>259</v>
      </c>
      <c r="C170" s="14">
        <v>35</v>
      </c>
      <c r="D170" s="14">
        <v>35</v>
      </c>
    </row>
    <row r="171" spans="1:4">
      <c r="A171" s="14" t="s">
        <v>384</v>
      </c>
      <c r="B171" s="14" t="s">
        <v>344</v>
      </c>
      <c r="C171" s="14">
        <v>35</v>
      </c>
      <c r="D171" s="14">
        <v>35</v>
      </c>
    </row>
    <row r="172" spans="1:4">
      <c r="A172" s="14" t="s">
        <v>569</v>
      </c>
      <c r="B172" s="14" t="s">
        <v>344</v>
      </c>
      <c r="C172" s="14">
        <v>35</v>
      </c>
      <c r="D172" s="14">
        <v>35</v>
      </c>
    </row>
    <row r="173" spans="1:4" hidden="1">
      <c r="A173" s="14" t="s">
        <v>549</v>
      </c>
      <c r="B173" s="14" t="s">
        <v>259</v>
      </c>
      <c r="C173" s="14">
        <v>35</v>
      </c>
      <c r="D173" s="14">
        <v>35</v>
      </c>
    </row>
    <row r="174" spans="1:4" hidden="1">
      <c r="A174" s="14" t="s">
        <v>238</v>
      </c>
      <c r="B174" s="14" t="s">
        <v>138</v>
      </c>
      <c r="C174" s="14">
        <v>35</v>
      </c>
      <c r="D174" s="14">
        <v>35</v>
      </c>
    </row>
    <row r="175" spans="1:4" hidden="1">
      <c r="A175" s="14" t="s">
        <v>510</v>
      </c>
      <c r="B175" s="14" t="s">
        <v>259</v>
      </c>
      <c r="C175" s="14">
        <v>35</v>
      </c>
      <c r="D175" s="14">
        <v>35</v>
      </c>
    </row>
    <row r="176" spans="1:4" hidden="1">
      <c r="A176" s="14" t="s">
        <v>279</v>
      </c>
      <c r="B176" s="14" t="s">
        <v>259</v>
      </c>
      <c r="C176" s="14">
        <v>35</v>
      </c>
      <c r="D176" s="14">
        <v>35</v>
      </c>
    </row>
    <row r="177" spans="1:4" hidden="1">
      <c r="A177" s="14" t="s">
        <v>525</v>
      </c>
      <c r="B177" s="14" t="s">
        <v>259</v>
      </c>
      <c r="C177" s="14">
        <v>35</v>
      </c>
      <c r="D177" s="14">
        <v>35</v>
      </c>
    </row>
    <row r="178" spans="1:4" hidden="1">
      <c r="A178" s="14" t="s">
        <v>303</v>
      </c>
      <c r="B178" s="14" t="s">
        <v>259</v>
      </c>
      <c r="C178" s="14">
        <v>35</v>
      </c>
      <c r="D178" s="14">
        <v>35</v>
      </c>
    </row>
    <row r="179" spans="1:4">
      <c r="A179" s="14" t="s">
        <v>414</v>
      </c>
      <c r="B179" s="14" t="s">
        <v>344</v>
      </c>
      <c r="C179" s="14">
        <v>35</v>
      </c>
      <c r="D179" s="14">
        <v>35</v>
      </c>
    </row>
    <row r="180" spans="1:4" hidden="1">
      <c r="A180" s="14" t="s">
        <v>516</v>
      </c>
      <c r="B180" s="14" t="s">
        <v>259</v>
      </c>
      <c r="C180" s="14">
        <v>35</v>
      </c>
      <c r="D180" s="14">
        <v>35</v>
      </c>
    </row>
    <row r="181" spans="1:4" hidden="1">
      <c r="A181" s="14" t="s">
        <v>199</v>
      </c>
      <c r="B181" s="14" t="s">
        <v>138</v>
      </c>
      <c r="C181" s="14">
        <v>35</v>
      </c>
      <c r="D181" s="14">
        <v>35</v>
      </c>
    </row>
    <row r="182" spans="1:4">
      <c r="A182" s="14" t="s">
        <v>570</v>
      </c>
      <c r="B182" s="14" t="s">
        <v>344</v>
      </c>
      <c r="C182" s="14">
        <v>35</v>
      </c>
      <c r="D182" s="14">
        <v>35</v>
      </c>
    </row>
    <row r="183" spans="1:4">
      <c r="A183" s="14" t="s">
        <v>365</v>
      </c>
      <c r="B183" s="14" t="s">
        <v>344</v>
      </c>
      <c r="C183" s="14">
        <v>35</v>
      </c>
      <c r="D183" s="14">
        <v>35</v>
      </c>
    </row>
    <row r="184" spans="1:4" hidden="1">
      <c r="A184" s="14" t="s">
        <v>175</v>
      </c>
      <c r="B184" s="14" t="s">
        <v>138</v>
      </c>
      <c r="C184" s="14">
        <v>35</v>
      </c>
      <c r="D184" s="14">
        <v>35</v>
      </c>
    </row>
    <row r="185" spans="1:4">
      <c r="A185" s="14" t="s">
        <v>571</v>
      </c>
      <c r="B185" s="14" t="s">
        <v>344</v>
      </c>
      <c r="C185" s="14">
        <v>35</v>
      </c>
      <c r="D185" s="14">
        <v>35</v>
      </c>
    </row>
    <row r="186" spans="1:4" hidden="1">
      <c r="A186" s="14" t="s">
        <v>572</v>
      </c>
      <c r="B186" s="14" t="s">
        <v>259</v>
      </c>
      <c r="C186" s="14">
        <v>35</v>
      </c>
      <c r="D186" s="14">
        <v>35</v>
      </c>
    </row>
    <row r="187" spans="1:4" hidden="1">
      <c r="A187" s="14" t="s">
        <v>219</v>
      </c>
      <c r="B187" s="14" t="s">
        <v>138</v>
      </c>
      <c r="C187" s="14">
        <v>35</v>
      </c>
      <c r="D187" s="14">
        <v>35</v>
      </c>
    </row>
    <row r="188" spans="1:4" hidden="1">
      <c r="A188" s="14" t="s">
        <v>573</v>
      </c>
      <c r="B188" s="14" t="s">
        <v>31</v>
      </c>
      <c r="C188" s="14">
        <v>35</v>
      </c>
      <c r="D188" s="14">
        <v>35</v>
      </c>
    </row>
    <row r="189" spans="1:4" hidden="1">
      <c r="A189" s="14" t="s">
        <v>92</v>
      </c>
      <c r="B189" s="14" t="s">
        <v>31</v>
      </c>
      <c r="C189" s="14">
        <v>35</v>
      </c>
      <c r="D189" s="14">
        <v>35</v>
      </c>
    </row>
    <row r="190" spans="1:4" hidden="1">
      <c r="A190" s="14" t="s">
        <v>218</v>
      </c>
      <c r="B190" s="14" t="s">
        <v>138</v>
      </c>
      <c r="C190" s="14">
        <v>35</v>
      </c>
      <c r="D190" s="14">
        <v>35</v>
      </c>
    </row>
    <row r="191" spans="1:4" hidden="1">
      <c r="A191" s="14" t="s">
        <v>221</v>
      </c>
      <c r="B191" s="14" t="s">
        <v>138</v>
      </c>
      <c r="C191" s="14">
        <v>35</v>
      </c>
      <c r="D191" s="14">
        <v>35</v>
      </c>
    </row>
    <row r="192" spans="1:4" hidden="1">
      <c r="A192" s="14" t="s">
        <v>515</v>
      </c>
      <c r="B192" s="14" t="s">
        <v>259</v>
      </c>
      <c r="C192" s="14">
        <v>20</v>
      </c>
      <c r="D192" s="14">
        <v>20</v>
      </c>
    </row>
    <row r="193" spans="1:4" hidden="1">
      <c r="A193" s="14" t="s">
        <v>574</v>
      </c>
      <c r="B193" s="14" t="s">
        <v>138</v>
      </c>
      <c r="C193" s="14">
        <v>20</v>
      </c>
      <c r="D193" s="14">
        <v>20</v>
      </c>
    </row>
    <row r="194" spans="1:4" hidden="1">
      <c r="A194" s="14" t="s">
        <v>535</v>
      </c>
      <c r="B194" s="14" t="s">
        <v>31</v>
      </c>
      <c r="C194" s="14">
        <v>20</v>
      </c>
      <c r="D194" s="14">
        <v>20</v>
      </c>
    </row>
    <row r="195" spans="1:4" hidden="1">
      <c r="A195" s="14" t="s">
        <v>149</v>
      </c>
      <c r="B195" s="14" t="s">
        <v>138</v>
      </c>
      <c r="C195" s="14">
        <v>20</v>
      </c>
      <c r="D195" s="14">
        <v>20</v>
      </c>
    </row>
    <row r="196" spans="1:4" hidden="1">
      <c r="A196" s="14" t="s">
        <v>210</v>
      </c>
      <c r="B196" s="14" t="s">
        <v>138</v>
      </c>
      <c r="C196" s="14">
        <v>6</v>
      </c>
      <c r="D196" s="14">
        <v>6</v>
      </c>
    </row>
    <row r="197" spans="1:4">
      <c r="A197" s="14" t="s">
        <v>451</v>
      </c>
      <c r="B197" s="14" t="s">
        <v>344</v>
      </c>
      <c r="C197" s="14">
        <v>2</v>
      </c>
      <c r="D197" s="14">
        <v>2</v>
      </c>
    </row>
    <row r="198" spans="1:4" hidden="1">
      <c r="A198" s="14" t="s">
        <v>272</v>
      </c>
      <c r="B198" s="14" t="s">
        <v>259</v>
      </c>
      <c r="C198" s="14">
        <v>1</v>
      </c>
      <c r="D198" s="14">
        <v>1</v>
      </c>
    </row>
    <row r="199" spans="1:4">
      <c r="A199" s="14" t="s">
        <v>459</v>
      </c>
      <c r="B199" s="14" t="s">
        <v>344</v>
      </c>
      <c r="C199" s="14">
        <v>1</v>
      </c>
      <c r="D199" s="14">
        <v>1</v>
      </c>
    </row>
    <row r="200" spans="1:4">
      <c r="A200" s="14" t="s">
        <v>575</v>
      </c>
      <c r="B200" s="14" t="s">
        <v>344</v>
      </c>
      <c r="C200" s="14">
        <v>0</v>
      </c>
      <c r="D200" s="14">
        <v>0</v>
      </c>
    </row>
    <row r="201" spans="1:4">
      <c r="A201" s="14" t="s">
        <v>372</v>
      </c>
      <c r="B201" s="14" t="s">
        <v>344</v>
      </c>
      <c r="C201" s="14">
        <v>0</v>
      </c>
      <c r="D201" s="14">
        <v>0</v>
      </c>
    </row>
    <row r="202" spans="1:4" hidden="1">
      <c r="A202" s="14" t="s">
        <v>58</v>
      </c>
      <c r="B202" s="14" t="s">
        <v>31</v>
      </c>
      <c r="C202" s="14">
        <v>0</v>
      </c>
      <c r="D202" s="14">
        <v>0</v>
      </c>
    </row>
    <row r="203" spans="1:4">
      <c r="A203" s="14" t="s">
        <v>373</v>
      </c>
      <c r="B203" s="14" t="s">
        <v>344</v>
      </c>
      <c r="C203" s="14">
        <v>0</v>
      </c>
      <c r="D203" s="14">
        <v>0</v>
      </c>
    </row>
    <row r="204" spans="1:4">
      <c r="A204" s="14" t="s">
        <v>374</v>
      </c>
      <c r="B204" s="14" t="s">
        <v>344</v>
      </c>
      <c r="C204" s="14">
        <v>0</v>
      </c>
      <c r="D204" s="14">
        <v>0</v>
      </c>
    </row>
    <row r="205" spans="1:4">
      <c r="A205" s="14" t="s">
        <v>363</v>
      </c>
      <c r="B205" s="14" t="s">
        <v>344</v>
      </c>
      <c r="C205" s="14">
        <v>0</v>
      </c>
      <c r="D205" s="14">
        <v>0</v>
      </c>
    </row>
    <row r="206" spans="1:4">
      <c r="A206" s="14" t="s">
        <v>375</v>
      </c>
      <c r="B206" s="14" t="s">
        <v>344</v>
      </c>
      <c r="C206" s="14">
        <v>0</v>
      </c>
      <c r="D206" s="14">
        <v>0</v>
      </c>
    </row>
    <row r="207" spans="1:4">
      <c r="A207" s="14" t="s">
        <v>376</v>
      </c>
      <c r="B207" s="14" t="s">
        <v>344</v>
      </c>
      <c r="C207" s="14">
        <v>0</v>
      </c>
      <c r="D207" s="14">
        <v>0</v>
      </c>
    </row>
    <row r="208" spans="1:4">
      <c r="A208" s="14" t="s">
        <v>377</v>
      </c>
      <c r="B208" s="14" t="s">
        <v>344</v>
      </c>
      <c r="C208" s="14">
        <v>0</v>
      </c>
      <c r="D208" s="14">
        <v>0</v>
      </c>
    </row>
    <row r="209" spans="1:4">
      <c r="A209" s="14" t="s">
        <v>378</v>
      </c>
      <c r="B209" s="14" t="s">
        <v>344</v>
      </c>
      <c r="C209" s="14">
        <v>0</v>
      </c>
      <c r="D209" s="14">
        <v>0</v>
      </c>
    </row>
    <row r="210" spans="1:4">
      <c r="A210" s="14" t="s">
        <v>364</v>
      </c>
      <c r="B210" s="14" t="s">
        <v>344</v>
      </c>
      <c r="C210" s="14">
        <v>0</v>
      </c>
      <c r="D210" s="14">
        <v>0</v>
      </c>
    </row>
    <row r="211" spans="1:4" hidden="1">
      <c r="A211" s="14" t="s">
        <v>59</v>
      </c>
      <c r="B211" s="14" t="s">
        <v>31</v>
      </c>
      <c r="C211" s="14">
        <v>0</v>
      </c>
      <c r="D211" s="14">
        <v>0</v>
      </c>
    </row>
    <row r="212" spans="1:4">
      <c r="A212" s="14" t="s">
        <v>368</v>
      </c>
      <c r="B212" s="14" t="s">
        <v>344</v>
      </c>
      <c r="C212" s="14">
        <v>0</v>
      </c>
      <c r="D212" s="14">
        <v>0</v>
      </c>
    </row>
    <row r="213" spans="1:4">
      <c r="A213" s="14" t="s">
        <v>367</v>
      </c>
      <c r="B213" s="14" t="s">
        <v>344</v>
      </c>
      <c r="C213" s="14">
        <v>0</v>
      </c>
      <c r="D213" s="14">
        <v>0</v>
      </c>
    </row>
    <row r="214" spans="1:4">
      <c r="A214" s="14" t="s">
        <v>348</v>
      </c>
      <c r="B214" s="14" t="s">
        <v>344</v>
      </c>
      <c r="C214" s="14">
        <v>0</v>
      </c>
      <c r="D214" s="14">
        <v>0</v>
      </c>
    </row>
    <row r="215" spans="1:4" hidden="1">
      <c r="A215" s="14" t="s">
        <v>491</v>
      </c>
      <c r="B215" s="14" t="s">
        <v>31</v>
      </c>
      <c r="C215" s="14">
        <v>0</v>
      </c>
      <c r="D215" s="14">
        <v>0</v>
      </c>
    </row>
    <row r="216" spans="1:4">
      <c r="A216" s="14" t="s">
        <v>366</v>
      </c>
      <c r="B216" s="14" t="s">
        <v>344</v>
      </c>
      <c r="C216" s="14">
        <v>0</v>
      </c>
      <c r="D216" s="14">
        <v>0</v>
      </c>
    </row>
    <row r="217" spans="1:4" hidden="1">
      <c r="A217" s="14" t="s">
        <v>57</v>
      </c>
      <c r="B217" s="14" t="s">
        <v>31</v>
      </c>
      <c r="C217" s="14">
        <v>0</v>
      </c>
      <c r="D217" s="14">
        <v>0</v>
      </c>
    </row>
    <row r="218" spans="1:4">
      <c r="A218" s="14" t="s">
        <v>430</v>
      </c>
      <c r="B218" s="14" t="s">
        <v>344</v>
      </c>
      <c r="C218" s="14">
        <v>0</v>
      </c>
      <c r="D218" s="14">
        <v>0</v>
      </c>
    </row>
    <row r="219" spans="1:4">
      <c r="A219" s="14" t="s">
        <v>379</v>
      </c>
      <c r="B219" s="14" t="s">
        <v>344</v>
      </c>
      <c r="C219" s="14">
        <v>0</v>
      </c>
      <c r="D219" s="14">
        <v>0</v>
      </c>
    </row>
    <row r="220" spans="1:4">
      <c r="A220" s="14" t="s">
        <v>380</v>
      </c>
      <c r="B220" s="14" t="s">
        <v>344</v>
      </c>
      <c r="C220" s="14">
        <v>0</v>
      </c>
      <c r="D220" s="14">
        <v>0</v>
      </c>
    </row>
    <row r="221" spans="1:4" hidden="1">
      <c r="A221" s="14" t="s">
        <v>60</v>
      </c>
      <c r="B221" s="14" t="s">
        <v>31</v>
      </c>
      <c r="C221" s="14">
        <v>0</v>
      </c>
      <c r="D221" s="14">
        <v>0</v>
      </c>
    </row>
    <row r="222" spans="1:4">
      <c r="A222" s="14" t="s">
        <v>370</v>
      </c>
      <c r="B222" s="14" t="s">
        <v>344</v>
      </c>
      <c r="C222" s="14">
        <v>0</v>
      </c>
      <c r="D222" s="14">
        <v>0</v>
      </c>
    </row>
    <row r="223" spans="1:4">
      <c r="A223" s="14" t="s">
        <v>369</v>
      </c>
      <c r="B223" s="14" t="s">
        <v>344</v>
      </c>
      <c r="C223" s="14">
        <v>0</v>
      </c>
      <c r="D223" s="14">
        <v>0</v>
      </c>
    </row>
    <row r="224" spans="1:4" hidden="1">
      <c r="A224" s="14" t="s">
        <v>576</v>
      </c>
      <c r="B224" s="14" t="s">
        <v>31</v>
      </c>
      <c r="C224" s="14">
        <v>0</v>
      </c>
      <c r="D224" s="14">
        <v>0</v>
      </c>
    </row>
    <row r="225" spans="1:4" hidden="1">
      <c r="A225" s="14" t="s">
        <v>61</v>
      </c>
      <c r="B225" s="14" t="s">
        <v>31</v>
      </c>
      <c r="C225" s="14">
        <v>0</v>
      </c>
      <c r="D225" s="14">
        <v>0</v>
      </c>
    </row>
    <row r="226" spans="1:4">
      <c r="A226" s="14" t="s">
        <v>577</v>
      </c>
      <c r="B226" s="14" t="s">
        <v>344</v>
      </c>
      <c r="C226" s="14">
        <v>0</v>
      </c>
      <c r="D226" s="14">
        <v>0</v>
      </c>
    </row>
    <row r="227" spans="1:4">
      <c r="A227" s="14" t="s">
        <v>385</v>
      </c>
      <c r="B227" s="14" t="s">
        <v>344</v>
      </c>
      <c r="C227" s="14">
        <v>0</v>
      </c>
      <c r="D227" s="14">
        <v>0</v>
      </c>
    </row>
    <row r="228" spans="1:4" hidden="1">
      <c r="A228" s="14" t="s">
        <v>62</v>
      </c>
      <c r="B228" s="14" t="s">
        <v>31</v>
      </c>
      <c r="C228" s="14">
        <v>0</v>
      </c>
      <c r="D228" s="14">
        <v>0</v>
      </c>
    </row>
    <row r="229" spans="1:4" hidden="1">
      <c r="A229" s="14" t="s">
        <v>63</v>
      </c>
      <c r="B229" s="14" t="s">
        <v>31</v>
      </c>
      <c r="C229" s="14">
        <v>0</v>
      </c>
      <c r="D229" s="14">
        <v>0</v>
      </c>
    </row>
    <row r="230" spans="1:4" hidden="1">
      <c r="A230" s="14" t="s">
        <v>64</v>
      </c>
      <c r="B230" s="14" t="s">
        <v>31</v>
      </c>
      <c r="C230" s="14">
        <v>0</v>
      </c>
      <c r="D230" s="14">
        <v>0</v>
      </c>
    </row>
    <row r="231" spans="1:4" hidden="1">
      <c r="A231" s="14" t="s">
        <v>82</v>
      </c>
      <c r="B231" s="14" t="s">
        <v>31</v>
      </c>
      <c r="C231" s="14">
        <v>0</v>
      </c>
      <c r="D231" s="14">
        <v>0</v>
      </c>
    </row>
    <row r="232" spans="1:4" hidden="1">
      <c r="A232" s="14" t="s">
        <v>83</v>
      </c>
      <c r="B232" s="14" t="s">
        <v>31</v>
      </c>
      <c r="C232" s="14">
        <v>0</v>
      </c>
      <c r="D232" s="14">
        <v>0</v>
      </c>
    </row>
    <row r="233" spans="1:4" hidden="1">
      <c r="A233" s="14" t="s">
        <v>578</v>
      </c>
      <c r="B233" s="14" t="s">
        <v>31</v>
      </c>
      <c r="C233" s="14">
        <v>0</v>
      </c>
      <c r="D233" s="14">
        <v>0</v>
      </c>
    </row>
    <row r="234" spans="1:4">
      <c r="A234" s="14" t="s">
        <v>579</v>
      </c>
      <c r="B234" s="14" t="s">
        <v>344</v>
      </c>
      <c r="C234" s="14">
        <v>0</v>
      </c>
      <c r="D234" s="14">
        <v>0</v>
      </c>
    </row>
    <row r="235" spans="1:4">
      <c r="A235" s="14" t="s">
        <v>386</v>
      </c>
      <c r="B235" s="14" t="s">
        <v>344</v>
      </c>
      <c r="C235" s="14">
        <v>0</v>
      </c>
      <c r="D235" s="14">
        <v>0</v>
      </c>
    </row>
    <row r="236" spans="1:4">
      <c r="A236" s="14" t="s">
        <v>387</v>
      </c>
      <c r="B236" s="14" t="s">
        <v>344</v>
      </c>
      <c r="C236" s="14">
        <v>0</v>
      </c>
      <c r="D236" s="14">
        <v>0</v>
      </c>
    </row>
    <row r="237" spans="1:4" hidden="1">
      <c r="A237" s="14" t="s">
        <v>84</v>
      </c>
      <c r="B237" s="14" t="s">
        <v>31</v>
      </c>
      <c r="C237" s="14">
        <v>0</v>
      </c>
      <c r="D237" s="14">
        <v>0</v>
      </c>
    </row>
    <row r="238" spans="1:4">
      <c r="A238" s="14" t="s">
        <v>389</v>
      </c>
      <c r="B238" s="14" t="s">
        <v>344</v>
      </c>
      <c r="C238" s="14">
        <v>0</v>
      </c>
      <c r="D238" s="14">
        <v>0</v>
      </c>
    </row>
    <row r="239" spans="1:4">
      <c r="A239" s="14" t="s">
        <v>390</v>
      </c>
      <c r="B239" s="14" t="s">
        <v>344</v>
      </c>
      <c r="C239" s="14">
        <v>0</v>
      </c>
      <c r="D239" s="14">
        <v>0</v>
      </c>
    </row>
    <row r="240" spans="1:4">
      <c r="A240" s="14" t="s">
        <v>391</v>
      </c>
      <c r="B240" s="14" t="s">
        <v>344</v>
      </c>
      <c r="C240" s="14">
        <v>0</v>
      </c>
      <c r="D240" s="14">
        <v>0</v>
      </c>
    </row>
    <row r="241" spans="1:4" hidden="1">
      <c r="A241" s="14" t="s">
        <v>85</v>
      </c>
      <c r="B241" s="14" t="s">
        <v>31</v>
      </c>
      <c r="C241" s="14">
        <v>0</v>
      </c>
      <c r="D241" s="14">
        <v>0</v>
      </c>
    </row>
    <row r="242" spans="1:4">
      <c r="A242" s="14" t="s">
        <v>392</v>
      </c>
      <c r="B242" s="14" t="s">
        <v>344</v>
      </c>
      <c r="C242" s="14">
        <v>0</v>
      </c>
      <c r="D242" s="14">
        <v>0</v>
      </c>
    </row>
    <row r="243" spans="1:4" hidden="1">
      <c r="A243" s="14" t="s">
        <v>118</v>
      </c>
      <c r="B243" s="14" t="s">
        <v>31</v>
      </c>
      <c r="C243" s="14">
        <v>0</v>
      </c>
      <c r="D243" s="14">
        <v>0</v>
      </c>
    </row>
    <row r="244" spans="1:4" hidden="1">
      <c r="A244" s="14" t="s">
        <v>580</v>
      </c>
      <c r="B244" s="14" t="s">
        <v>259</v>
      </c>
      <c r="C244" s="14">
        <v>0</v>
      </c>
      <c r="D244" s="14">
        <v>0</v>
      </c>
    </row>
    <row r="245" spans="1:4" hidden="1">
      <c r="A245" s="14" t="s">
        <v>523</v>
      </c>
      <c r="B245" s="14" t="s">
        <v>259</v>
      </c>
      <c r="C245" s="14">
        <v>0</v>
      </c>
      <c r="D245" s="14">
        <v>0</v>
      </c>
    </row>
    <row r="246" spans="1:4" hidden="1">
      <c r="A246" s="14" t="s">
        <v>581</v>
      </c>
      <c r="B246" s="14" t="s">
        <v>259</v>
      </c>
      <c r="C246" s="14">
        <v>0</v>
      </c>
      <c r="D246" s="14">
        <v>0</v>
      </c>
    </row>
    <row r="247" spans="1:4" hidden="1">
      <c r="A247" s="14" t="s">
        <v>119</v>
      </c>
      <c r="B247" s="14" t="s">
        <v>31</v>
      </c>
      <c r="C247" s="14">
        <v>0</v>
      </c>
      <c r="D247" s="14">
        <v>0</v>
      </c>
    </row>
    <row r="248" spans="1:4" hidden="1">
      <c r="A248" s="14" t="s">
        <v>120</v>
      </c>
      <c r="B248" s="14" t="s">
        <v>31</v>
      </c>
      <c r="C248" s="14">
        <v>0</v>
      </c>
      <c r="D248" s="14">
        <v>0</v>
      </c>
    </row>
    <row r="249" spans="1:4" hidden="1">
      <c r="A249" s="14" t="s">
        <v>297</v>
      </c>
      <c r="B249" s="14" t="s">
        <v>259</v>
      </c>
      <c r="C249" s="14">
        <v>0</v>
      </c>
      <c r="D249" s="14">
        <v>0</v>
      </c>
    </row>
    <row r="250" spans="1:4" hidden="1">
      <c r="A250" s="14" t="s">
        <v>121</v>
      </c>
      <c r="B250" s="14" t="s">
        <v>31</v>
      </c>
      <c r="C250" s="14">
        <v>0</v>
      </c>
      <c r="D250" s="14">
        <v>0</v>
      </c>
    </row>
    <row r="251" spans="1:4" hidden="1">
      <c r="A251" s="14" t="s">
        <v>299</v>
      </c>
      <c r="B251" s="14" t="s">
        <v>259</v>
      </c>
      <c r="C251" s="14">
        <v>0</v>
      </c>
      <c r="D251" s="14">
        <v>0</v>
      </c>
    </row>
    <row r="252" spans="1:4" hidden="1">
      <c r="A252" s="14" t="s">
        <v>429</v>
      </c>
      <c r="B252" s="14" t="s">
        <v>259</v>
      </c>
      <c r="C252" s="14">
        <v>0</v>
      </c>
      <c r="D252" s="14">
        <v>0</v>
      </c>
    </row>
    <row r="253" spans="1:4" hidden="1">
      <c r="A253" s="14" t="s">
        <v>300</v>
      </c>
      <c r="B253" s="14" t="s">
        <v>259</v>
      </c>
      <c r="C253" s="14">
        <v>0</v>
      </c>
      <c r="D253" s="14">
        <v>0</v>
      </c>
    </row>
    <row r="254" spans="1:4" hidden="1">
      <c r="A254" s="14" t="s">
        <v>301</v>
      </c>
      <c r="B254" s="14" t="s">
        <v>259</v>
      </c>
      <c r="C254" s="14">
        <v>0</v>
      </c>
      <c r="D254" s="14">
        <v>0</v>
      </c>
    </row>
    <row r="255" spans="1:4" hidden="1">
      <c r="A255" s="14" t="s">
        <v>122</v>
      </c>
      <c r="B255" s="14" t="s">
        <v>31</v>
      </c>
      <c r="C255" s="14">
        <v>0</v>
      </c>
      <c r="D255" s="14">
        <v>0</v>
      </c>
    </row>
    <row r="256" spans="1:4" hidden="1">
      <c r="A256" s="14" t="s">
        <v>502</v>
      </c>
      <c r="B256" s="14" t="s">
        <v>31</v>
      </c>
      <c r="C256" s="14">
        <v>0</v>
      </c>
      <c r="D256" s="14">
        <v>0</v>
      </c>
    </row>
    <row r="257" spans="1:4" hidden="1">
      <c r="A257" s="14" t="s">
        <v>123</v>
      </c>
      <c r="B257" s="14" t="s">
        <v>31</v>
      </c>
      <c r="C257" s="14">
        <v>0</v>
      </c>
      <c r="D257" s="14">
        <v>0</v>
      </c>
    </row>
    <row r="258" spans="1:4" hidden="1">
      <c r="A258" s="14" t="s">
        <v>304</v>
      </c>
      <c r="B258" s="14" t="s">
        <v>259</v>
      </c>
      <c r="C258" s="14">
        <v>0</v>
      </c>
      <c r="D258" s="14">
        <v>0</v>
      </c>
    </row>
    <row r="259" spans="1:4" hidden="1">
      <c r="A259" s="14" t="s">
        <v>540</v>
      </c>
      <c r="B259" s="14" t="s">
        <v>31</v>
      </c>
      <c r="C259" s="14">
        <v>0</v>
      </c>
      <c r="D259" s="14">
        <v>0</v>
      </c>
    </row>
    <row r="260" spans="1:4" hidden="1">
      <c r="A260" s="14" t="s">
        <v>305</v>
      </c>
      <c r="B260" s="14" t="s">
        <v>259</v>
      </c>
      <c r="C260" s="14">
        <v>0</v>
      </c>
      <c r="D260" s="14">
        <v>0</v>
      </c>
    </row>
    <row r="261" spans="1:4" hidden="1">
      <c r="A261" s="14" t="s">
        <v>65</v>
      </c>
      <c r="B261" s="14" t="s">
        <v>31</v>
      </c>
      <c r="C261" s="14">
        <v>0</v>
      </c>
      <c r="D261" s="14">
        <v>0</v>
      </c>
    </row>
    <row r="262" spans="1:4" hidden="1">
      <c r="A262" s="14" t="s">
        <v>55</v>
      </c>
      <c r="B262" s="14" t="s">
        <v>31</v>
      </c>
      <c r="C262" s="14">
        <v>0</v>
      </c>
      <c r="D262" s="14">
        <v>0</v>
      </c>
    </row>
    <row r="263" spans="1:4" hidden="1">
      <c r="A263" s="14" t="s">
        <v>66</v>
      </c>
      <c r="B263" s="14" t="s">
        <v>31</v>
      </c>
      <c r="C263" s="14">
        <v>0</v>
      </c>
      <c r="D263" s="14">
        <v>0</v>
      </c>
    </row>
    <row r="264" spans="1:4" hidden="1">
      <c r="A264" s="14" t="s">
        <v>582</v>
      </c>
      <c r="B264" s="14" t="s">
        <v>31</v>
      </c>
      <c r="C264" s="14">
        <v>0</v>
      </c>
      <c r="D264" s="14">
        <v>0</v>
      </c>
    </row>
    <row r="265" spans="1:4" hidden="1">
      <c r="A265" s="14" t="s">
        <v>583</v>
      </c>
      <c r="B265" s="14" t="s">
        <v>259</v>
      </c>
      <c r="C265" s="14">
        <v>0</v>
      </c>
      <c r="D265" s="14">
        <v>0</v>
      </c>
    </row>
    <row r="266" spans="1:4" hidden="1">
      <c r="A266" s="14" t="s">
        <v>426</v>
      </c>
      <c r="B266" s="14" t="s">
        <v>259</v>
      </c>
      <c r="C266" s="14">
        <v>0</v>
      </c>
      <c r="D266" s="14">
        <v>0</v>
      </c>
    </row>
    <row r="267" spans="1:4" hidden="1">
      <c r="A267" s="14" t="s">
        <v>306</v>
      </c>
      <c r="B267" s="14" t="s">
        <v>259</v>
      </c>
      <c r="C267" s="14">
        <v>0</v>
      </c>
      <c r="D267" s="14">
        <v>0</v>
      </c>
    </row>
    <row r="268" spans="1:4" hidden="1">
      <c r="A268" s="14" t="s">
        <v>531</v>
      </c>
      <c r="B268" s="14" t="s">
        <v>259</v>
      </c>
      <c r="C268" s="14">
        <v>0</v>
      </c>
      <c r="D268" s="14">
        <v>0</v>
      </c>
    </row>
    <row r="269" spans="1:4" hidden="1">
      <c r="A269" s="14" t="s">
        <v>68</v>
      </c>
      <c r="B269" s="14" t="s">
        <v>31</v>
      </c>
      <c r="C269" s="14">
        <v>0</v>
      </c>
      <c r="D269" s="14">
        <v>0</v>
      </c>
    </row>
    <row r="270" spans="1:4" hidden="1">
      <c r="A270" s="14" t="s">
        <v>308</v>
      </c>
      <c r="B270" s="14" t="s">
        <v>259</v>
      </c>
      <c r="C270" s="14">
        <v>0</v>
      </c>
      <c r="D270" s="14">
        <v>0</v>
      </c>
    </row>
    <row r="271" spans="1:4" hidden="1">
      <c r="A271" s="14" t="s">
        <v>309</v>
      </c>
      <c r="B271" s="14" t="s">
        <v>259</v>
      </c>
      <c r="C271" s="14">
        <v>0</v>
      </c>
      <c r="D271" s="14">
        <v>0</v>
      </c>
    </row>
    <row r="272" spans="1:4" hidden="1">
      <c r="A272" s="14" t="s">
        <v>310</v>
      </c>
      <c r="B272" s="14" t="s">
        <v>259</v>
      </c>
      <c r="C272" s="14">
        <v>0</v>
      </c>
      <c r="D272" s="14">
        <v>0</v>
      </c>
    </row>
    <row r="273" spans="1:4" hidden="1">
      <c r="A273" s="14" t="s">
        <v>494</v>
      </c>
      <c r="B273" s="14" t="s">
        <v>259</v>
      </c>
      <c r="C273" s="14">
        <v>0</v>
      </c>
      <c r="D273" s="14">
        <v>0</v>
      </c>
    </row>
    <row r="274" spans="1:4" hidden="1">
      <c r="A274" s="14" t="s">
        <v>532</v>
      </c>
      <c r="B274" s="14" t="s">
        <v>259</v>
      </c>
      <c r="C274" s="14">
        <v>0</v>
      </c>
      <c r="D274" s="14">
        <v>0</v>
      </c>
    </row>
    <row r="275" spans="1:4" hidden="1">
      <c r="A275" s="14" t="s">
        <v>311</v>
      </c>
      <c r="B275" s="14" t="s">
        <v>259</v>
      </c>
      <c r="C275" s="14">
        <v>0</v>
      </c>
      <c r="D275" s="14">
        <v>0</v>
      </c>
    </row>
    <row r="276" spans="1:4" hidden="1">
      <c r="A276" s="14" t="s">
        <v>584</v>
      </c>
      <c r="B276" s="14" t="s">
        <v>31</v>
      </c>
      <c r="C276" s="14">
        <v>0</v>
      </c>
      <c r="D276" s="14">
        <v>0</v>
      </c>
    </row>
    <row r="277" spans="1:4" hidden="1">
      <c r="A277" s="14" t="s">
        <v>280</v>
      </c>
      <c r="B277" s="14" t="s">
        <v>259</v>
      </c>
      <c r="C277" s="14">
        <v>0</v>
      </c>
      <c r="D277" s="14">
        <v>0</v>
      </c>
    </row>
    <row r="278" spans="1:4" hidden="1">
      <c r="A278" s="14" t="s">
        <v>585</v>
      </c>
      <c r="B278" s="14" t="s">
        <v>31</v>
      </c>
      <c r="C278" s="14">
        <v>0</v>
      </c>
      <c r="D278" s="14">
        <v>0</v>
      </c>
    </row>
    <row r="279" spans="1:4" hidden="1">
      <c r="A279" s="14" t="s">
        <v>69</v>
      </c>
      <c r="B279" s="14" t="s">
        <v>31</v>
      </c>
      <c r="C279" s="14">
        <v>0</v>
      </c>
      <c r="D279" s="14">
        <v>0</v>
      </c>
    </row>
    <row r="280" spans="1:4" hidden="1">
      <c r="A280" s="14" t="s">
        <v>497</v>
      </c>
      <c r="B280" s="14" t="s">
        <v>259</v>
      </c>
      <c r="C280" s="14">
        <v>0</v>
      </c>
      <c r="D280" s="14">
        <v>0</v>
      </c>
    </row>
    <row r="281" spans="1:4" hidden="1">
      <c r="A281" s="14" t="s">
        <v>586</v>
      </c>
      <c r="B281" s="14" t="s">
        <v>259</v>
      </c>
      <c r="C281" s="14">
        <v>0</v>
      </c>
      <c r="D281" s="14">
        <v>0</v>
      </c>
    </row>
    <row r="282" spans="1:4" hidden="1">
      <c r="A282" s="14" t="s">
        <v>276</v>
      </c>
      <c r="B282" s="14" t="s">
        <v>259</v>
      </c>
      <c r="C282" s="14">
        <v>0</v>
      </c>
      <c r="D282" s="14">
        <v>0</v>
      </c>
    </row>
    <row r="283" spans="1:4" hidden="1">
      <c r="A283" s="14" t="s">
        <v>282</v>
      </c>
      <c r="B283" s="14" t="s">
        <v>259</v>
      </c>
      <c r="C283" s="14">
        <v>0</v>
      </c>
      <c r="D283" s="14">
        <v>0</v>
      </c>
    </row>
    <row r="284" spans="1:4" hidden="1">
      <c r="A284" s="14" t="s">
        <v>283</v>
      </c>
      <c r="B284" s="14" t="s">
        <v>259</v>
      </c>
      <c r="C284" s="14">
        <v>0</v>
      </c>
      <c r="D284" s="14">
        <v>0</v>
      </c>
    </row>
    <row r="285" spans="1:4" hidden="1">
      <c r="A285" s="14" t="s">
        <v>284</v>
      </c>
      <c r="B285" s="14" t="s">
        <v>259</v>
      </c>
      <c r="C285" s="14">
        <v>0</v>
      </c>
      <c r="D285" s="14">
        <v>0</v>
      </c>
    </row>
    <row r="286" spans="1:4" hidden="1">
      <c r="A286" s="14" t="s">
        <v>285</v>
      </c>
      <c r="B286" s="14" t="s">
        <v>259</v>
      </c>
      <c r="C286" s="14">
        <v>0</v>
      </c>
      <c r="D286" s="14">
        <v>0</v>
      </c>
    </row>
    <row r="287" spans="1:4" hidden="1">
      <c r="A287" s="14" t="s">
        <v>498</v>
      </c>
      <c r="B287" s="14" t="s">
        <v>259</v>
      </c>
      <c r="C287" s="14">
        <v>0</v>
      </c>
      <c r="D287" s="14">
        <v>0</v>
      </c>
    </row>
    <row r="288" spans="1:4" hidden="1">
      <c r="A288" s="14" t="s">
        <v>286</v>
      </c>
      <c r="B288" s="14" t="s">
        <v>259</v>
      </c>
      <c r="C288" s="14">
        <v>0</v>
      </c>
      <c r="D288" s="14">
        <v>0</v>
      </c>
    </row>
    <row r="289" spans="1:4" hidden="1">
      <c r="A289" s="14" t="s">
        <v>287</v>
      </c>
      <c r="B289" s="14" t="s">
        <v>259</v>
      </c>
      <c r="C289" s="14">
        <v>0</v>
      </c>
      <c r="D289" s="14">
        <v>0</v>
      </c>
    </row>
    <row r="290" spans="1:4" hidden="1">
      <c r="A290" s="14" t="s">
        <v>533</v>
      </c>
      <c r="B290" s="14" t="s">
        <v>259</v>
      </c>
      <c r="C290" s="14">
        <v>0</v>
      </c>
      <c r="D290" s="14">
        <v>0</v>
      </c>
    </row>
    <row r="291" spans="1:4" hidden="1">
      <c r="A291" s="14" t="s">
        <v>288</v>
      </c>
      <c r="B291" s="14" t="s">
        <v>259</v>
      </c>
      <c r="C291" s="14">
        <v>0</v>
      </c>
      <c r="D291" s="14">
        <v>0</v>
      </c>
    </row>
    <row r="292" spans="1:4" hidden="1">
      <c r="A292" s="14" t="s">
        <v>587</v>
      </c>
      <c r="B292" s="14" t="s">
        <v>31</v>
      </c>
      <c r="C292" s="14">
        <v>0</v>
      </c>
      <c r="D292" s="14">
        <v>0</v>
      </c>
    </row>
    <row r="293" spans="1:4" hidden="1">
      <c r="A293" s="14" t="s">
        <v>74</v>
      </c>
      <c r="B293" s="14" t="s">
        <v>31</v>
      </c>
      <c r="C293" s="14">
        <v>0</v>
      </c>
      <c r="D293" s="14">
        <v>0</v>
      </c>
    </row>
    <row r="294" spans="1:4" hidden="1">
      <c r="A294" s="14" t="s">
        <v>539</v>
      </c>
      <c r="B294" s="14" t="s">
        <v>31</v>
      </c>
      <c r="C294" s="14">
        <v>0</v>
      </c>
      <c r="D294" s="14">
        <v>0</v>
      </c>
    </row>
    <row r="295" spans="1:4">
      <c r="A295" s="14" t="s">
        <v>476</v>
      </c>
      <c r="B295" s="14" t="s">
        <v>344</v>
      </c>
      <c r="C295" s="14">
        <v>0</v>
      </c>
      <c r="D295" s="14">
        <v>0</v>
      </c>
    </row>
    <row r="296" spans="1:4" hidden="1">
      <c r="A296" s="14" t="s">
        <v>75</v>
      </c>
      <c r="B296" s="14" t="s">
        <v>31</v>
      </c>
      <c r="C296" s="14">
        <v>0</v>
      </c>
      <c r="D296" s="14">
        <v>0</v>
      </c>
    </row>
    <row r="297" spans="1:4" hidden="1">
      <c r="A297" s="14" t="s">
        <v>433</v>
      </c>
      <c r="B297" s="14" t="s">
        <v>31</v>
      </c>
      <c r="C297" s="14">
        <v>0</v>
      </c>
      <c r="D297" s="14">
        <v>0</v>
      </c>
    </row>
    <row r="298" spans="1:4">
      <c r="A298" s="14" t="s">
        <v>475</v>
      </c>
      <c r="B298" s="14" t="s">
        <v>344</v>
      </c>
      <c r="C298" s="14">
        <v>0</v>
      </c>
      <c r="D298" s="14">
        <v>0</v>
      </c>
    </row>
    <row r="299" spans="1:4" hidden="1">
      <c r="A299" s="14" t="s">
        <v>76</v>
      </c>
      <c r="B299" s="14" t="s">
        <v>31</v>
      </c>
      <c r="C299" s="14">
        <v>0</v>
      </c>
      <c r="D299" s="14">
        <v>0</v>
      </c>
    </row>
    <row r="300" spans="1:4">
      <c r="A300" s="14" t="s">
        <v>382</v>
      </c>
      <c r="B300" s="14" t="s">
        <v>344</v>
      </c>
      <c r="C300" s="14">
        <v>0</v>
      </c>
      <c r="D300" s="14">
        <v>0</v>
      </c>
    </row>
    <row r="301" spans="1:4">
      <c r="A301" s="14" t="s">
        <v>474</v>
      </c>
      <c r="B301" s="14" t="s">
        <v>344</v>
      </c>
      <c r="C301" s="14">
        <v>0</v>
      </c>
      <c r="D301" s="14">
        <v>0</v>
      </c>
    </row>
    <row r="302" spans="1:4">
      <c r="A302" s="14" t="s">
        <v>473</v>
      </c>
      <c r="B302" s="14" t="s">
        <v>344</v>
      </c>
      <c r="C302" s="14">
        <v>0</v>
      </c>
      <c r="D302" s="14">
        <v>0</v>
      </c>
    </row>
    <row r="303" spans="1:4">
      <c r="A303" s="14" t="s">
        <v>472</v>
      </c>
      <c r="B303" s="14" t="s">
        <v>344</v>
      </c>
      <c r="C303" s="14">
        <v>0</v>
      </c>
      <c r="D303" s="14">
        <v>0</v>
      </c>
    </row>
    <row r="304" spans="1:4" hidden="1">
      <c r="A304" s="14" t="s">
        <v>54</v>
      </c>
      <c r="B304" s="14" t="s">
        <v>31</v>
      </c>
      <c r="C304" s="14">
        <v>0</v>
      </c>
      <c r="D304" s="14">
        <v>0</v>
      </c>
    </row>
    <row r="305" spans="1:4">
      <c r="A305" s="14" t="s">
        <v>471</v>
      </c>
      <c r="B305" s="14" t="s">
        <v>344</v>
      </c>
      <c r="C305" s="14">
        <v>0</v>
      </c>
      <c r="D305" s="14">
        <v>0</v>
      </c>
    </row>
    <row r="306" spans="1:4">
      <c r="A306" s="14" t="s">
        <v>588</v>
      </c>
      <c r="B306" s="14" t="s">
        <v>344</v>
      </c>
      <c r="C306" s="14">
        <v>0</v>
      </c>
      <c r="D306" s="14">
        <v>0</v>
      </c>
    </row>
    <row r="307" spans="1:4">
      <c r="A307" s="14" t="s">
        <v>452</v>
      </c>
      <c r="B307" s="14" t="s">
        <v>344</v>
      </c>
      <c r="C307" s="14">
        <v>0</v>
      </c>
      <c r="D307" s="14">
        <v>0</v>
      </c>
    </row>
    <row r="308" spans="1:4">
      <c r="A308" s="14" t="s">
        <v>470</v>
      </c>
      <c r="B308" s="14" t="s">
        <v>344</v>
      </c>
      <c r="C308" s="14">
        <v>0</v>
      </c>
      <c r="D308" s="14">
        <v>0</v>
      </c>
    </row>
    <row r="309" spans="1:4">
      <c r="A309" s="14" t="s">
        <v>589</v>
      </c>
      <c r="B309" s="14" t="s">
        <v>344</v>
      </c>
      <c r="C309" s="14">
        <v>0</v>
      </c>
      <c r="D309" s="14">
        <v>0</v>
      </c>
    </row>
    <row r="310" spans="1:4">
      <c r="A310" s="14" t="s">
        <v>460</v>
      </c>
      <c r="B310" s="14" t="s">
        <v>344</v>
      </c>
      <c r="C310" s="14">
        <v>0</v>
      </c>
      <c r="D310" s="14">
        <v>0</v>
      </c>
    </row>
    <row r="311" spans="1:4" hidden="1">
      <c r="A311" s="14" t="s">
        <v>77</v>
      </c>
      <c r="B311" s="14" t="s">
        <v>31</v>
      </c>
      <c r="C311" s="14">
        <v>0</v>
      </c>
      <c r="D311" s="14">
        <v>0</v>
      </c>
    </row>
    <row r="312" spans="1:4">
      <c r="A312" s="14" t="s">
        <v>458</v>
      </c>
      <c r="B312" s="14" t="s">
        <v>344</v>
      </c>
      <c r="C312" s="14">
        <v>0</v>
      </c>
      <c r="D312" s="14">
        <v>0</v>
      </c>
    </row>
    <row r="313" spans="1:4">
      <c r="A313" s="14" t="s">
        <v>457</v>
      </c>
      <c r="B313" s="14" t="s">
        <v>344</v>
      </c>
      <c r="C313" s="14">
        <v>0</v>
      </c>
      <c r="D313" s="14">
        <v>0</v>
      </c>
    </row>
    <row r="314" spans="1:4">
      <c r="A314" s="14" t="s">
        <v>450</v>
      </c>
      <c r="B314" s="14" t="s">
        <v>344</v>
      </c>
      <c r="C314" s="14">
        <v>0</v>
      </c>
      <c r="D314" s="14">
        <v>0</v>
      </c>
    </row>
    <row r="315" spans="1:4">
      <c r="A315" s="14" t="s">
        <v>454</v>
      </c>
      <c r="B315" s="14" t="s">
        <v>344</v>
      </c>
      <c r="C315" s="14">
        <v>0</v>
      </c>
      <c r="D315" s="14">
        <v>0</v>
      </c>
    </row>
    <row r="316" spans="1:4">
      <c r="A316" s="14" t="s">
        <v>455</v>
      </c>
      <c r="B316" s="14" t="s">
        <v>344</v>
      </c>
      <c r="C316" s="14">
        <v>0</v>
      </c>
      <c r="D316" s="14">
        <v>0</v>
      </c>
    </row>
    <row r="317" spans="1:4">
      <c r="A317" s="14" t="s">
        <v>456</v>
      </c>
      <c r="B317" s="14" t="s">
        <v>344</v>
      </c>
      <c r="C317" s="14">
        <v>0</v>
      </c>
      <c r="D317" s="14">
        <v>0</v>
      </c>
    </row>
    <row r="318" spans="1:4" hidden="1">
      <c r="A318" s="14" t="s">
        <v>78</v>
      </c>
      <c r="B318" s="14" t="s">
        <v>31</v>
      </c>
      <c r="C318" s="14">
        <v>0</v>
      </c>
      <c r="D318" s="14">
        <v>0</v>
      </c>
    </row>
    <row r="319" spans="1:4" hidden="1">
      <c r="A319" s="14" t="s">
        <v>501</v>
      </c>
      <c r="B319" s="14" t="s">
        <v>31</v>
      </c>
      <c r="C319" s="14">
        <v>0</v>
      </c>
      <c r="D319" s="14">
        <v>0</v>
      </c>
    </row>
    <row r="320" spans="1:4">
      <c r="A320" s="14" t="s">
        <v>453</v>
      </c>
      <c r="B320" s="14" t="s">
        <v>344</v>
      </c>
      <c r="C320" s="14">
        <v>0</v>
      </c>
      <c r="D320" s="14">
        <v>0</v>
      </c>
    </row>
    <row r="321" spans="1:5">
      <c r="A321" s="14" t="s">
        <v>469</v>
      </c>
      <c r="B321" s="14" t="s">
        <v>344</v>
      </c>
      <c r="C321" s="14">
        <v>0</v>
      </c>
      <c r="D321" s="14">
        <v>0</v>
      </c>
    </row>
    <row r="322" spans="1:5">
      <c r="A322" s="14" t="s">
        <v>468</v>
      </c>
      <c r="B322" s="14" t="s">
        <v>344</v>
      </c>
      <c r="C322" s="14">
        <v>0</v>
      </c>
      <c r="D322" s="14">
        <v>0</v>
      </c>
    </row>
    <row r="323" spans="1:5">
      <c r="A323" s="14" t="s">
        <v>448</v>
      </c>
      <c r="B323" s="14" t="s">
        <v>344</v>
      </c>
      <c r="C323" s="14">
        <v>0</v>
      </c>
      <c r="D323" s="14">
        <v>0</v>
      </c>
    </row>
    <row r="324" spans="1:5">
      <c r="A324" s="14" t="s">
        <v>467</v>
      </c>
      <c r="B324" s="14" t="s">
        <v>344</v>
      </c>
      <c r="C324" s="14">
        <v>0</v>
      </c>
      <c r="D324" s="14">
        <v>0</v>
      </c>
    </row>
    <row r="325" spans="1:5" hidden="1">
      <c r="A325" s="14" t="s">
        <v>466</v>
      </c>
      <c r="C325" s="14" t="s">
        <v>344</v>
      </c>
      <c r="D325" s="14">
        <v>0</v>
      </c>
      <c r="E325" s="14">
        <v>0</v>
      </c>
    </row>
    <row r="326" spans="1:5">
      <c r="A326" s="14" t="s">
        <v>465</v>
      </c>
      <c r="B326" s="14" t="s">
        <v>344</v>
      </c>
      <c r="C326" s="14">
        <v>0</v>
      </c>
      <c r="D326" s="14">
        <v>0</v>
      </c>
    </row>
    <row r="327" spans="1:5">
      <c r="A327" s="14" t="s">
        <v>449</v>
      </c>
      <c r="B327" s="14" t="s">
        <v>344</v>
      </c>
      <c r="C327" s="14">
        <v>0</v>
      </c>
      <c r="D327" s="14">
        <v>0</v>
      </c>
    </row>
    <row r="328" spans="1:5" hidden="1">
      <c r="A328" s="14" t="s">
        <v>79</v>
      </c>
      <c r="B328" s="14" t="s">
        <v>31</v>
      </c>
      <c r="C328" s="14">
        <v>0</v>
      </c>
      <c r="D328" s="14">
        <v>0</v>
      </c>
    </row>
    <row r="329" spans="1:5" hidden="1">
      <c r="A329" s="14" t="s">
        <v>80</v>
      </c>
      <c r="B329" s="14" t="s">
        <v>31</v>
      </c>
      <c r="C329" s="14">
        <v>0</v>
      </c>
      <c r="D329" s="14">
        <v>0</v>
      </c>
    </row>
    <row r="330" spans="1:5">
      <c r="A330" s="14" t="s">
        <v>590</v>
      </c>
      <c r="B330" s="14" t="s">
        <v>344</v>
      </c>
      <c r="C330" s="14">
        <v>0</v>
      </c>
      <c r="D330" s="14">
        <v>0</v>
      </c>
    </row>
    <row r="331" spans="1:5" hidden="1">
      <c r="A331" s="14" t="s">
        <v>591</v>
      </c>
      <c r="B331" s="14" t="s">
        <v>31</v>
      </c>
      <c r="C331" s="14">
        <v>0</v>
      </c>
      <c r="D331" s="14">
        <v>0</v>
      </c>
    </row>
    <row r="332" spans="1:5" hidden="1">
      <c r="A332" s="14" t="s">
        <v>81</v>
      </c>
      <c r="B332" s="14" t="s">
        <v>31</v>
      </c>
      <c r="C332" s="14">
        <v>0</v>
      </c>
      <c r="D332" s="14">
        <v>0</v>
      </c>
    </row>
    <row r="333" spans="1:5">
      <c r="A333" s="14" t="s">
        <v>464</v>
      </c>
      <c r="B333" s="14" t="s">
        <v>344</v>
      </c>
      <c r="C333" s="14">
        <v>0</v>
      </c>
      <c r="D333" s="14">
        <v>0</v>
      </c>
    </row>
    <row r="334" spans="1:5">
      <c r="A334" s="14" t="s">
        <v>592</v>
      </c>
      <c r="B334" s="14" t="s">
        <v>344</v>
      </c>
      <c r="C334" s="14">
        <v>0</v>
      </c>
      <c r="D334" s="14">
        <v>0</v>
      </c>
    </row>
    <row r="335" spans="1:5">
      <c r="A335" s="14" t="s">
        <v>463</v>
      </c>
      <c r="B335" s="14" t="s">
        <v>344</v>
      </c>
      <c r="C335" s="14">
        <v>0</v>
      </c>
      <c r="D335" s="14">
        <v>0</v>
      </c>
    </row>
    <row r="336" spans="1:5">
      <c r="A336" s="14" t="s">
        <v>462</v>
      </c>
      <c r="B336" s="14" t="s">
        <v>344</v>
      </c>
      <c r="C336" s="14">
        <v>0</v>
      </c>
      <c r="D336" s="14">
        <v>0</v>
      </c>
    </row>
    <row r="337" spans="1:4">
      <c r="A337" s="14" t="s">
        <v>527</v>
      </c>
      <c r="B337" s="14" t="s">
        <v>344</v>
      </c>
      <c r="C337" s="14">
        <v>0</v>
      </c>
      <c r="D337" s="14">
        <v>0</v>
      </c>
    </row>
    <row r="338" spans="1:4">
      <c r="A338" s="14" t="s">
        <v>461</v>
      </c>
      <c r="B338" s="14" t="s">
        <v>344</v>
      </c>
      <c r="C338" s="14">
        <v>0</v>
      </c>
      <c r="D338" s="14">
        <v>0</v>
      </c>
    </row>
    <row r="339" spans="1:4" hidden="1">
      <c r="A339" s="14" t="s">
        <v>593</v>
      </c>
      <c r="B339" s="14" t="s">
        <v>31</v>
      </c>
      <c r="C339" s="14">
        <v>0</v>
      </c>
      <c r="D339" s="14">
        <v>0</v>
      </c>
    </row>
    <row r="340" spans="1:4">
      <c r="A340" s="14" t="s">
        <v>393</v>
      </c>
      <c r="B340" s="14" t="s">
        <v>344</v>
      </c>
      <c r="C340" s="14">
        <v>0</v>
      </c>
      <c r="D340" s="14">
        <v>0</v>
      </c>
    </row>
    <row r="341" spans="1:4">
      <c r="A341" s="14" t="s">
        <v>394</v>
      </c>
      <c r="B341" s="14" t="s">
        <v>344</v>
      </c>
      <c r="C341" s="14">
        <v>0</v>
      </c>
      <c r="D341" s="14">
        <v>0</v>
      </c>
    </row>
    <row r="342" spans="1:4">
      <c r="A342" s="14" t="s">
        <v>395</v>
      </c>
      <c r="B342" s="14" t="s">
        <v>344</v>
      </c>
      <c r="C342" s="14">
        <v>0</v>
      </c>
      <c r="D342" s="14">
        <v>0</v>
      </c>
    </row>
    <row r="343" spans="1:4">
      <c r="A343" s="14" t="s">
        <v>594</v>
      </c>
      <c r="B343" s="14" t="s">
        <v>344</v>
      </c>
      <c r="C343" s="14">
        <v>0</v>
      </c>
      <c r="D343" s="14">
        <v>0</v>
      </c>
    </row>
    <row r="344" spans="1:4">
      <c r="A344" s="14" t="s">
        <v>396</v>
      </c>
      <c r="B344" s="14" t="s">
        <v>344</v>
      </c>
      <c r="C344" s="14">
        <v>0</v>
      </c>
      <c r="D344" s="14">
        <v>0</v>
      </c>
    </row>
    <row r="345" spans="1:4">
      <c r="A345" s="14" t="s">
        <v>397</v>
      </c>
      <c r="B345" s="14" t="s">
        <v>344</v>
      </c>
      <c r="C345" s="14">
        <v>0</v>
      </c>
      <c r="D345" s="14">
        <v>0</v>
      </c>
    </row>
    <row r="346" spans="1:4">
      <c r="A346" s="14" t="s">
        <v>595</v>
      </c>
      <c r="B346" s="14" t="s">
        <v>344</v>
      </c>
      <c r="C346" s="14">
        <v>0</v>
      </c>
      <c r="D346" s="14">
        <v>0</v>
      </c>
    </row>
    <row r="347" spans="1:4">
      <c r="A347" s="14" t="s">
        <v>398</v>
      </c>
      <c r="B347" s="14" t="s">
        <v>344</v>
      </c>
      <c r="C347" s="14">
        <v>0</v>
      </c>
      <c r="D347" s="14">
        <v>0</v>
      </c>
    </row>
    <row r="348" spans="1:4">
      <c r="A348" s="14" t="s">
        <v>399</v>
      </c>
      <c r="B348" s="14" t="s">
        <v>344</v>
      </c>
      <c r="C348" s="14">
        <v>0</v>
      </c>
      <c r="D348" s="14">
        <v>0</v>
      </c>
    </row>
    <row r="349" spans="1:4">
      <c r="A349" s="14" t="s">
        <v>400</v>
      </c>
      <c r="B349" s="14" t="s">
        <v>344</v>
      </c>
      <c r="C349" s="14">
        <v>0</v>
      </c>
      <c r="D349" s="14">
        <v>0</v>
      </c>
    </row>
    <row r="350" spans="1:4" hidden="1">
      <c r="A350" s="14" t="s">
        <v>86</v>
      </c>
      <c r="B350" s="14" t="s">
        <v>31</v>
      </c>
      <c r="C350" s="14">
        <v>0</v>
      </c>
      <c r="D350" s="14">
        <v>0</v>
      </c>
    </row>
    <row r="351" spans="1:4">
      <c r="A351" s="14" t="s">
        <v>401</v>
      </c>
      <c r="B351" s="14" t="s">
        <v>344</v>
      </c>
      <c r="C351" s="14">
        <v>0</v>
      </c>
      <c r="D351" s="14">
        <v>0</v>
      </c>
    </row>
    <row r="352" spans="1:4">
      <c r="A352" s="14" t="s">
        <v>402</v>
      </c>
      <c r="B352" s="14" t="s">
        <v>344</v>
      </c>
      <c r="C352" s="14">
        <v>0</v>
      </c>
      <c r="D352" s="14">
        <v>0</v>
      </c>
    </row>
    <row r="353" spans="1:4">
      <c r="A353" s="14" t="s">
        <v>403</v>
      </c>
      <c r="B353" s="14" t="s">
        <v>344</v>
      </c>
      <c r="C353" s="14">
        <v>0</v>
      </c>
      <c r="D353" s="14">
        <v>0</v>
      </c>
    </row>
    <row r="354" spans="1:4">
      <c r="A354" s="14" t="s">
        <v>404</v>
      </c>
      <c r="B354" s="14" t="s">
        <v>344</v>
      </c>
      <c r="C354" s="14">
        <v>0</v>
      </c>
      <c r="D354" s="14">
        <v>0</v>
      </c>
    </row>
    <row r="355" spans="1:4">
      <c r="A355" s="14" t="s">
        <v>405</v>
      </c>
      <c r="B355" s="14" t="s">
        <v>344</v>
      </c>
      <c r="C355" s="14">
        <v>0</v>
      </c>
      <c r="D355" s="14">
        <v>0</v>
      </c>
    </row>
    <row r="356" spans="1:4">
      <c r="A356" s="14" t="s">
        <v>406</v>
      </c>
      <c r="B356" s="14" t="s">
        <v>344</v>
      </c>
      <c r="C356" s="14">
        <v>0</v>
      </c>
      <c r="D356" s="14">
        <v>0</v>
      </c>
    </row>
    <row r="357" spans="1:4">
      <c r="A357" s="14" t="s">
        <v>407</v>
      </c>
      <c r="B357" s="14" t="s">
        <v>344</v>
      </c>
      <c r="C357" s="14">
        <v>0</v>
      </c>
      <c r="D357" s="14">
        <v>0</v>
      </c>
    </row>
    <row r="358" spans="1:4">
      <c r="A358" s="14" t="s">
        <v>596</v>
      </c>
      <c r="B358" s="14" t="s">
        <v>344</v>
      </c>
      <c r="C358" s="14">
        <v>0</v>
      </c>
      <c r="D358" s="14">
        <v>0</v>
      </c>
    </row>
    <row r="359" spans="1:4">
      <c r="A359" s="14" t="s">
        <v>408</v>
      </c>
      <c r="B359" s="14" t="s">
        <v>344</v>
      </c>
      <c r="C359" s="14">
        <v>0</v>
      </c>
      <c r="D359" s="14">
        <v>0</v>
      </c>
    </row>
    <row r="360" spans="1:4">
      <c r="A360" s="14" t="s">
        <v>409</v>
      </c>
      <c r="B360" s="14" t="s">
        <v>344</v>
      </c>
      <c r="C360" s="14">
        <v>0</v>
      </c>
      <c r="D360" s="14">
        <v>0</v>
      </c>
    </row>
    <row r="361" spans="1:4" hidden="1">
      <c r="A361" s="14" t="s">
        <v>87</v>
      </c>
      <c r="B361" s="14" t="s">
        <v>31</v>
      </c>
      <c r="C361" s="14">
        <v>0</v>
      </c>
      <c r="D361" s="14">
        <v>0</v>
      </c>
    </row>
    <row r="362" spans="1:4">
      <c r="A362" s="14" t="s">
        <v>410</v>
      </c>
      <c r="B362" s="14" t="s">
        <v>344</v>
      </c>
      <c r="C362" s="14">
        <v>0</v>
      </c>
      <c r="D362" s="14">
        <v>0</v>
      </c>
    </row>
    <row r="363" spans="1:4">
      <c r="A363" s="14" t="s">
        <v>411</v>
      </c>
      <c r="B363" s="14" t="s">
        <v>344</v>
      </c>
      <c r="C363" s="14">
        <v>0</v>
      </c>
      <c r="D363" s="14">
        <v>0</v>
      </c>
    </row>
    <row r="364" spans="1:4">
      <c r="A364" s="14" t="s">
        <v>412</v>
      </c>
      <c r="B364" s="14" t="s">
        <v>344</v>
      </c>
      <c r="C364" s="14">
        <v>0</v>
      </c>
      <c r="D364" s="14">
        <v>0</v>
      </c>
    </row>
    <row r="365" spans="1:4">
      <c r="A365" s="14" t="s">
        <v>413</v>
      </c>
      <c r="B365" s="14" t="s">
        <v>344</v>
      </c>
      <c r="C365" s="14">
        <v>0</v>
      </c>
      <c r="D365" s="14">
        <v>0</v>
      </c>
    </row>
    <row r="366" spans="1:4" hidden="1">
      <c r="A366" s="14" t="s">
        <v>538</v>
      </c>
      <c r="B366" s="14" t="s">
        <v>31</v>
      </c>
      <c r="C366" s="14">
        <v>0</v>
      </c>
      <c r="D366" s="14">
        <v>0</v>
      </c>
    </row>
    <row r="367" spans="1:4" hidden="1">
      <c r="A367" s="14" t="s">
        <v>88</v>
      </c>
      <c r="B367" s="14" t="s">
        <v>31</v>
      </c>
      <c r="C367" s="14">
        <v>0</v>
      </c>
      <c r="D367" s="14">
        <v>0</v>
      </c>
    </row>
    <row r="368" spans="1:4" hidden="1">
      <c r="A368" s="14" t="s">
        <v>89</v>
      </c>
      <c r="B368" s="14" t="s">
        <v>31</v>
      </c>
      <c r="C368" s="14">
        <v>0</v>
      </c>
      <c r="D368" s="14">
        <v>0</v>
      </c>
    </row>
    <row r="369" spans="1:4">
      <c r="A369" s="14" t="s">
        <v>415</v>
      </c>
      <c r="B369" s="14" t="s">
        <v>344</v>
      </c>
      <c r="C369" s="14">
        <v>0</v>
      </c>
      <c r="D369" s="14">
        <v>0</v>
      </c>
    </row>
    <row r="370" spans="1:4">
      <c r="A370" s="14" t="s">
        <v>597</v>
      </c>
      <c r="B370" s="14" t="s">
        <v>344</v>
      </c>
      <c r="C370" s="14">
        <v>0</v>
      </c>
      <c r="D370" s="14">
        <v>0</v>
      </c>
    </row>
    <row r="371" spans="1:4">
      <c r="A371" s="14" t="s">
        <v>416</v>
      </c>
      <c r="B371" s="14" t="s">
        <v>344</v>
      </c>
      <c r="C371" s="14">
        <v>0</v>
      </c>
      <c r="D371" s="14">
        <v>0</v>
      </c>
    </row>
    <row r="372" spans="1:4">
      <c r="A372" s="14" t="s">
        <v>417</v>
      </c>
      <c r="B372" s="14" t="s">
        <v>344</v>
      </c>
      <c r="C372" s="14">
        <v>0</v>
      </c>
      <c r="D372" s="14">
        <v>0</v>
      </c>
    </row>
    <row r="373" spans="1:4">
      <c r="A373" s="14" t="s">
        <v>418</v>
      </c>
      <c r="B373" s="14" t="s">
        <v>344</v>
      </c>
      <c r="C373" s="14">
        <v>0</v>
      </c>
      <c r="D373" s="14">
        <v>0</v>
      </c>
    </row>
    <row r="374" spans="1:4">
      <c r="A374" s="14" t="s">
        <v>495</v>
      </c>
      <c r="B374" s="14" t="s">
        <v>344</v>
      </c>
      <c r="C374" s="14">
        <v>0</v>
      </c>
      <c r="D374" s="14">
        <v>0</v>
      </c>
    </row>
    <row r="375" spans="1:4">
      <c r="A375" s="14" t="s">
        <v>419</v>
      </c>
      <c r="B375" s="14" t="s">
        <v>344</v>
      </c>
      <c r="C375" s="14">
        <v>0</v>
      </c>
      <c r="D375" s="14">
        <v>0</v>
      </c>
    </row>
    <row r="376" spans="1:4" hidden="1">
      <c r="A376" s="14" t="s">
        <v>90</v>
      </c>
      <c r="B376" s="14" t="s">
        <v>31</v>
      </c>
      <c r="C376" s="14">
        <v>0</v>
      </c>
      <c r="D376" s="14">
        <v>0</v>
      </c>
    </row>
    <row r="377" spans="1:4">
      <c r="A377" s="14" t="s">
        <v>421</v>
      </c>
      <c r="B377" s="14" t="s">
        <v>344</v>
      </c>
      <c r="C377" s="14">
        <v>0</v>
      </c>
      <c r="D377" s="14">
        <v>0</v>
      </c>
    </row>
    <row r="378" spans="1:4">
      <c r="A378" s="14" t="s">
        <v>422</v>
      </c>
      <c r="B378" s="14" t="s">
        <v>344</v>
      </c>
      <c r="C378" s="14">
        <v>0</v>
      </c>
      <c r="D378" s="14">
        <v>0</v>
      </c>
    </row>
    <row r="379" spans="1:4">
      <c r="A379" s="14" t="s">
        <v>423</v>
      </c>
      <c r="B379" s="14" t="s">
        <v>344</v>
      </c>
      <c r="C379" s="14">
        <v>0</v>
      </c>
      <c r="D379" s="14">
        <v>0</v>
      </c>
    </row>
    <row r="380" spans="1:4">
      <c r="A380" s="14" t="s">
        <v>424</v>
      </c>
      <c r="B380" s="14" t="s">
        <v>344</v>
      </c>
      <c r="C380" s="14">
        <v>0</v>
      </c>
      <c r="D380" s="14">
        <v>0</v>
      </c>
    </row>
    <row r="381" spans="1:4" hidden="1">
      <c r="A381" s="14" t="s">
        <v>71</v>
      </c>
      <c r="B381" s="14" t="s">
        <v>31</v>
      </c>
      <c r="C381" s="14">
        <v>0</v>
      </c>
      <c r="D381" s="14">
        <v>0</v>
      </c>
    </row>
    <row r="382" spans="1:4">
      <c r="A382" s="14" t="s">
        <v>381</v>
      </c>
      <c r="B382" s="14" t="s">
        <v>344</v>
      </c>
      <c r="C382" s="14">
        <v>0</v>
      </c>
      <c r="D382" s="14">
        <v>0</v>
      </c>
    </row>
    <row r="383" spans="1:4" hidden="1">
      <c r="A383" s="14" t="s">
        <v>72</v>
      </c>
      <c r="B383" s="14" t="s">
        <v>31</v>
      </c>
      <c r="C383" s="14">
        <v>0</v>
      </c>
      <c r="D383" s="14">
        <v>0</v>
      </c>
    </row>
    <row r="384" spans="1:4">
      <c r="A384" s="14" t="s">
        <v>478</v>
      </c>
      <c r="B384" s="14" t="s">
        <v>344</v>
      </c>
      <c r="C384" s="14">
        <v>0</v>
      </c>
      <c r="D384" s="14">
        <v>0</v>
      </c>
    </row>
    <row r="385" spans="1:4">
      <c r="A385" s="14" t="s">
        <v>479</v>
      </c>
      <c r="B385" s="14" t="s">
        <v>344</v>
      </c>
      <c r="C385" s="14">
        <v>0</v>
      </c>
      <c r="D385" s="14">
        <v>0</v>
      </c>
    </row>
    <row r="386" spans="1:4" hidden="1">
      <c r="A386" s="14" t="s">
        <v>73</v>
      </c>
      <c r="B386" s="14" t="s">
        <v>31</v>
      </c>
      <c r="C386" s="14">
        <v>0</v>
      </c>
      <c r="D386" s="14">
        <v>0</v>
      </c>
    </row>
    <row r="387" spans="1:4">
      <c r="A387" s="14" t="s">
        <v>477</v>
      </c>
      <c r="B387" s="14" t="s">
        <v>344</v>
      </c>
      <c r="C387" s="14">
        <v>0</v>
      </c>
      <c r="D387" s="14">
        <v>0</v>
      </c>
    </row>
    <row r="388" spans="1:4" hidden="1">
      <c r="A388" s="14" t="s">
        <v>168</v>
      </c>
      <c r="B388" s="14" t="s">
        <v>138</v>
      </c>
      <c r="C388" s="14">
        <v>0</v>
      </c>
      <c r="D388" s="14">
        <v>0</v>
      </c>
    </row>
    <row r="389" spans="1:4" hidden="1">
      <c r="A389" s="14" t="s">
        <v>101</v>
      </c>
      <c r="B389" s="14" t="s">
        <v>31</v>
      </c>
      <c r="C389" s="14">
        <v>0</v>
      </c>
      <c r="D389" s="14">
        <v>0</v>
      </c>
    </row>
    <row r="390" spans="1:4" hidden="1">
      <c r="A390" s="14" t="s">
        <v>182</v>
      </c>
      <c r="B390" s="14" t="s">
        <v>138</v>
      </c>
      <c r="C390" s="14">
        <v>0</v>
      </c>
      <c r="D390" s="14">
        <v>0</v>
      </c>
    </row>
    <row r="391" spans="1:4" hidden="1">
      <c r="A391" s="14" t="s">
        <v>432</v>
      </c>
      <c r="B391" s="14" t="s">
        <v>31</v>
      </c>
      <c r="C391" s="14">
        <v>0</v>
      </c>
      <c r="D391" s="14">
        <v>0</v>
      </c>
    </row>
    <row r="392" spans="1:4" hidden="1">
      <c r="A392" s="14" t="s">
        <v>207</v>
      </c>
      <c r="B392" s="14" t="s">
        <v>138</v>
      </c>
      <c r="C392" s="14">
        <v>0</v>
      </c>
      <c r="D392" s="14">
        <v>0</v>
      </c>
    </row>
    <row r="393" spans="1:4" hidden="1">
      <c r="A393" s="14" t="s">
        <v>102</v>
      </c>
      <c r="B393" s="14" t="s">
        <v>31</v>
      </c>
      <c r="C393" s="14">
        <v>0</v>
      </c>
      <c r="D393" s="14">
        <v>0</v>
      </c>
    </row>
    <row r="394" spans="1:4" hidden="1">
      <c r="A394" s="14" t="s">
        <v>103</v>
      </c>
      <c r="B394" s="14" t="s">
        <v>31</v>
      </c>
      <c r="C394" s="14">
        <v>0</v>
      </c>
      <c r="D394" s="14">
        <v>0</v>
      </c>
    </row>
    <row r="395" spans="1:4" hidden="1">
      <c r="A395" s="14" t="s">
        <v>298</v>
      </c>
      <c r="B395" s="14" t="s">
        <v>138</v>
      </c>
      <c r="C395" s="14">
        <v>0</v>
      </c>
      <c r="D395" s="14">
        <v>0</v>
      </c>
    </row>
    <row r="396" spans="1:4" hidden="1">
      <c r="A396" s="14" t="s">
        <v>188</v>
      </c>
      <c r="B396" s="14" t="s">
        <v>138</v>
      </c>
      <c r="C396" s="14">
        <v>0</v>
      </c>
      <c r="D396" s="14">
        <v>0</v>
      </c>
    </row>
    <row r="397" spans="1:4" hidden="1">
      <c r="A397" s="14" t="s">
        <v>598</v>
      </c>
      <c r="B397" s="14" t="s">
        <v>31</v>
      </c>
      <c r="C397" s="14">
        <v>0</v>
      </c>
      <c r="D397" s="14">
        <v>0</v>
      </c>
    </row>
    <row r="398" spans="1:4" hidden="1">
      <c r="A398" s="14" t="s">
        <v>512</v>
      </c>
      <c r="B398" s="14" t="s">
        <v>138</v>
      </c>
      <c r="C398" s="14">
        <v>0</v>
      </c>
      <c r="D398" s="14">
        <v>0</v>
      </c>
    </row>
    <row r="399" spans="1:4" hidden="1">
      <c r="A399" s="14" t="s">
        <v>208</v>
      </c>
      <c r="B399" s="14" t="s">
        <v>138</v>
      </c>
      <c r="C399" s="14">
        <v>0</v>
      </c>
      <c r="D399" s="14">
        <v>0</v>
      </c>
    </row>
    <row r="400" spans="1:4" hidden="1">
      <c r="A400" s="14" t="s">
        <v>104</v>
      </c>
      <c r="B400" s="14" t="s">
        <v>31</v>
      </c>
      <c r="C400" s="14">
        <v>0</v>
      </c>
      <c r="D400" s="14">
        <v>0</v>
      </c>
    </row>
    <row r="401" spans="1:4" hidden="1">
      <c r="A401" s="14" t="s">
        <v>209</v>
      </c>
      <c r="B401" s="14" t="s">
        <v>138</v>
      </c>
      <c r="C401" s="14">
        <v>0</v>
      </c>
      <c r="D401" s="14">
        <v>0</v>
      </c>
    </row>
    <row r="402" spans="1:4" hidden="1">
      <c r="A402" s="14" t="s">
        <v>599</v>
      </c>
      <c r="B402" s="14" t="s">
        <v>31</v>
      </c>
      <c r="C402" s="14">
        <v>0</v>
      </c>
      <c r="D402" s="14">
        <v>0</v>
      </c>
    </row>
    <row r="403" spans="1:4" hidden="1">
      <c r="A403" s="14" t="s">
        <v>211</v>
      </c>
      <c r="B403" s="14" t="s">
        <v>138</v>
      </c>
      <c r="C403" s="14">
        <v>0</v>
      </c>
      <c r="D403" s="14">
        <v>0</v>
      </c>
    </row>
    <row r="404" spans="1:4" hidden="1">
      <c r="A404" s="14" t="s">
        <v>241</v>
      </c>
      <c r="B404" s="14" t="s">
        <v>138</v>
      </c>
      <c r="C404" s="14">
        <v>0</v>
      </c>
      <c r="D404" s="14">
        <v>0</v>
      </c>
    </row>
    <row r="405" spans="1:4" hidden="1">
      <c r="A405" s="14" t="s">
        <v>242</v>
      </c>
      <c r="B405" s="14" t="s">
        <v>138</v>
      </c>
      <c r="C405" s="14">
        <v>0</v>
      </c>
      <c r="D405" s="14">
        <v>0</v>
      </c>
    </row>
    <row r="406" spans="1:4" hidden="1">
      <c r="A406" s="14" t="s">
        <v>184</v>
      </c>
      <c r="B406" s="14" t="s">
        <v>138</v>
      </c>
      <c r="C406" s="14">
        <v>0</v>
      </c>
      <c r="D406" s="14">
        <v>0</v>
      </c>
    </row>
    <row r="407" spans="1:4" hidden="1">
      <c r="A407" s="14" t="s">
        <v>105</v>
      </c>
      <c r="B407" s="14" t="s">
        <v>31</v>
      </c>
      <c r="C407" s="14">
        <v>0</v>
      </c>
      <c r="D407" s="14">
        <v>0</v>
      </c>
    </row>
    <row r="408" spans="1:4" hidden="1">
      <c r="A408" s="14" t="s">
        <v>600</v>
      </c>
      <c r="B408" s="14" t="s">
        <v>138</v>
      </c>
      <c r="C408" s="14">
        <v>0</v>
      </c>
      <c r="D408" s="14">
        <v>0</v>
      </c>
    </row>
    <row r="409" spans="1:4" hidden="1">
      <c r="A409" s="14" t="s">
        <v>106</v>
      </c>
      <c r="B409" s="14" t="s">
        <v>31</v>
      </c>
      <c r="C409" s="14">
        <v>0</v>
      </c>
      <c r="D409" s="14">
        <v>0</v>
      </c>
    </row>
    <row r="410" spans="1:4" hidden="1">
      <c r="A410" s="14" t="s">
        <v>244</v>
      </c>
      <c r="B410" s="14" t="s">
        <v>138</v>
      </c>
      <c r="C410" s="14">
        <v>0</v>
      </c>
      <c r="D410" s="14">
        <v>0</v>
      </c>
    </row>
    <row r="411" spans="1:4" hidden="1">
      <c r="A411" s="14" t="s">
        <v>245</v>
      </c>
      <c r="B411" s="14" t="s">
        <v>138</v>
      </c>
      <c r="C411" s="14">
        <v>0</v>
      </c>
      <c r="D411" s="14">
        <v>0</v>
      </c>
    </row>
    <row r="412" spans="1:4" hidden="1">
      <c r="A412" s="14" t="s">
        <v>107</v>
      </c>
      <c r="B412" s="14" t="s">
        <v>31</v>
      </c>
      <c r="C412" s="14">
        <v>0</v>
      </c>
      <c r="D412" s="14">
        <v>0</v>
      </c>
    </row>
    <row r="413" spans="1:4" hidden="1">
      <c r="A413" s="14" t="s">
        <v>246</v>
      </c>
      <c r="B413" s="14" t="s">
        <v>138</v>
      </c>
      <c r="C413" s="14">
        <v>0</v>
      </c>
      <c r="D413" s="14">
        <v>0</v>
      </c>
    </row>
    <row r="414" spans="1:4" hidden="1">
      <c r="A414" s="14" t="s">
        <v>601</v>
      </c>
      <c r="B414" s="14" t="s">
        <v>138</v>
      </c>
      <c r="C414" s="14">
        <v>0</v>
      </c>
      <c r="D414" s="14">
        <v>0</v>
      </c>
    </row>
    <row r="415" spans="1:4" hidden="1">
      <c r="A415" s="14" t="s">
        <v>247</v>
      </c>
      <c r="B415" s="14" t="s">
        <v>138</v>
      </c>
      <c r="C415" s="14">
        <v>0</v>
      </c>
      <c r="D415" s="14">
        <v>0</v>
      </c>
    </row>
    <row r="416" spans="1:4" hidden="1">
      <c r="A416" s="14" t="s">
        <v>248</v>
      </c>
      <c r="B416" s="14" t="s">
        <v>138</v>
      </c>
      <c r="C416" s="14">
        <v>0</v>
      </c>
      <c r="D416" s="14">
        <v>0</v>
      </c>
    </row>
    <row r="417" spans="1:4" hidden="1">
      <c r="A417" s="14" t="s">
        <v>108</v>
      </c>
      <c r="B417" s="14" t="s">
        <v>31</v>
      </c>
      <c r="C417" s="14">
        <v>0</v>
      </c>
      <c r="D417" s="14">
        <v>0</v>
      </c>
    </row>
    <row r="418" spans="1:4" hidden="1">
      <c r="A418" s="14" t="s">
        <v>109</v>
      </c>
      <c r="B418" s="14" t="s">
        <v>31</v>
      </c>
      <c r="C418" s="14">
        <v>0</v>
      </c>
      <c r="D418" s="14">
        <v>0</v>
      </c>
    </row>
    <row r="419" spans="1:4" hidden="1">
      <c r="A419" s="14" t="s">
        <v>439</v>
      </c>
      <c r="B419" s="14" t="s">
        <v>138</v>
      </c>
      <c r="C419" s="14">
        <v>0</v>
      </c>
      <c r="D419" s="14">
        <v>0</v>
      </c>
    </row>
    <row r="420" spans="1:4" hidden="1">
      <c r="A420" s="14" t="s">
        <v>490</v>
      </c>
      <c r="B420" s="14" t="s">
        <v>138</v>
      </c>
      <c r="C420" s="14">
        <v>0</v>
      </c>
      <c r="D420" s="14">
        <v>0</v>
      </c>
    </row>
    <row r="421" spans="1:4" hidden="1">
      <c r="A421" s="14" t="s">
        <v>249</v>
      </c>
      <c r="B421" s="14" t="s">
        <v>138</v>
      </c>
      <c r="C421" s="14">
        <v>0</v>
      </c>
      <c r="D421" s="14">
        <v>0</v>
      </c>
    </row>
    <row r="422" spans="1:4" hidden="1">
      <c r="A422" s="14" t="s">
        <v>145</v>
      </c>
      <c r="B422" s="14" t="s">
        <v>138</v>
      </c>
      <c r="C422" s="14">
        <v>0</v>
      </c>
      <c r="D422" s="14">
        <v>0</v>
      </c>
    </row>
    <row r="423" spans="1:4" hidden="1">
      <c r="A423" s="14" t="s">
        <v>431</v>
      </c>
      <c r="B423" s="14" t="s">
        <v>31</v>
      </c>
      <c r="C423" s="14">
        <v>0</v>
      </c>
      <c r="D423" s="14">
        <v>0</v>
      </c>
    </row>
    <row r="424" spans="1:4" hidden="1">
      <c r="A424" s="14" t="s">
        <v>250</v>
      </c>
      <c r="B424" s="14" t="s">
        <v>138</v>
      </c>
      <c r="C424" s="14">
        <v>0</v>
      </c>
      <c r="D424" s="14">
        <v>0</v>
      </c>
    </row>
    <row r="425" spans="1:4" hidden="1">
      <c r="A425" s="14" t="s">
        <v>251</v>
      </c>
      <c r="B425" s="14" t="s">
        <v>138</v>
      </c>
      <c r="C425" s="14">
        <v>0</v>
      </c>
      <c r="D425" s="14">
        <v>0</v>
      </c>
    </row>
    <row r="426" spans="1:4" hidden="1">
      <c r="A426" s="14" t="s">
        <v>536</v>
      </c>
      <c r="B426" s="14" t="s">
        <v>31</v>
      </c>
      <c r="C426" s="14">
        <v>0</v>
      </c>
      <c r="D426" s="14">
        <v>0</v>
      </c>
    </row>
    <row r="427" spans="1:4" hidden="1">
      <c r="A427" s="14" t="s">
        <v>110</v>
      </c>
      <c r="B427" s="14" t="s">
        <v>31</v>
      </c>
      <c r="C427" s="14">
        <v>0</v>
      </c>
      <c r="D427" s="14">
        <v>0</v>
      </c>
    </row>
    <row r="428" spans="1:4" hidden="1">
      <c r="A428" s="14" t="s">
        <v>252</v>
      </c>
      <c r="B428" s="14" t="s">
        <v>138</v>
      </c>
      <c r="C428" s="14">
        <v>0</v>
      </c>
      <c r="D428" s="14">
        <v>0</v>
      </c>
    </row>
    <row r="429" spans="1:4" hidden="1">
      <c r="A429" s="14" t="s">
        <v>503</v>
      </c>
      <c r="B429" s="14" t="s">
        <v>138</v>
      </c>
      <c r="C429" s="14">
        <v>0</v>
      </c>
      <c r="D429" s="14">
        <v>0</v>
      </c>
    </row>
    <row r="430" spans="1:4" hidden="1">
      <c r="A430" s="14" t="s">
        <v>253</v>
      </c>
      <c r="B430" s="14" t="s">
        <v>138</v>
      </c>
      <c r="C430" s="14">
        <v>0</v>
      </c>
      <c r="D430" s="14">
        <v>0</v>
      </c>
    </row>
    <row r="431" spans="1:4" hidden="1">
      <c r="A431" s="14" t="s">
        <v>254</v>
      </c>
      <c r="B431" s="14" t="s">
        <v>138</v>
      </c>
      <c r="C431" s="14">
        <v>0</v>
      </c>
      <c r="D431" s="14">
        <v>0</v>
      </c>
    </row>
    <row r="432" spans="1:4" hidden="1">
      <c r="A432" s="14" t="s">
        <v>255</v>
      </c>
      <c r="B432" s="14" t="s">
        <v>138</v>
      </c>
      <c r="C432" s="14">
        <v>0</v>
      </c>
      <c r="D432" s="14">
        <v>0</v>
      </c>
    </row>
    <row r="433" spans="1:4" hidden="1">
      <c r="A433" s="14" t="s">
        <v>602</v>
      </c>
      <c r="B433" s="14" t="s">
        <v>31</v>
      </c>
      <c r="C433" s="14">
        <v>0</v>
      </c>
      <c r="D433" s="14">
        <v>0</v>
      </c>
    </row>
    <row r="434" spans="1:4" hidden="1">
      <c r="A434" s="14" t="s">
        <v>111</v>
      </c>
      <c r="B434" s="14" t="s">
        <v>31</v>
      </c>
      <c r="C434" s="14">
        <v>0</v>
      </c>
      <c r="D434" s="14">
        <v>0</v>
      </c>
    </row>
    <row r="435" spans="1:4" hidden="1">
      <c r="A435" s="14" t="s">
        <v>37</v>
      </c>
      <c r="B435" s="14" t="s">
        <v>31</v>
      </c>
      <c r="C435" s="14">
        <v>0</v>
      </c>
      <c r="D435" s="14">
        <v>0</v>
      </c>
    </row>
    <row r="436" spans="1:4" hidden="1">
      <c r="A436" s="14" t="s">
        <v>231</v>
      </c>
      <c r="B436" s="14" t="s">
        <v>138</v>
      </c>
      <c r="C436" s="14">
        <v>0</v>
      </c>
      <c r="D436" s="14">
        <v>0</v>
      </c>
    </row>
    <row r="437" spans="1:4" hidden="1">
      <c r="A437" s="14" t="s">
        <v>230</v>
      </c>
      <c r="B437" s="14" t="s">
        <v>138</v>
      </c>
      <c r="C437" s="14">
        <v>0</v>
      </c>
      <c r="D437" s="14">
        <v>0</v>
      </c>
    </row>
    <row r="438" spans="1:4" hidden="1">
      <c r="A438" s="14" t="s">
        <v>143</v>
      </c>
      <c r="B438" s="14" t="s">
        <v>138</v>
      </c>
      <c r="C438" s="14">
        <v>0</v>
      </c>
      <c r="D438" s="14">
        <v>0</v>
      </c>
    </row>
    <row r="439" spans="1:4" hidden="1">
      <c r="A439" s="14" t="s">
        <v>233</v>
      </c>
      <c r="B439" s="14" t="s">
        <v>138</v>
      </c>
      <c r="C439" s="14">
        <v>0</v>
      </c>
      <c r="D439" s="14">
        <v>0</v>
      </c>
    </row>
    <row r="440" spans="1:4" hidden="1">
      <c r="A440" s="14" t="s">
        <v>178</v>
      </c>
      <c r="B440" s="14" t="s">
        <v>138</v>
      </c>
      <c r="C440" s="14">
        <v>0</v>
      </c>
      <c r="D440" s="14">
        <v>0</v>
      </c>
    </row>
    <row r="441" spans="1:4" hidden="1">
      <c r="A441" s="14" t="s">
        <v>438</v>
      </c>
      <c r="B441" s="14" t="s">
        <v>138</v>
      </c>
      <c r="C441" s="14">
        <v>0</v>
      </c>
      <c r="D441" s="14">
        <v>0</v>
      </c>
    </row>
    <row r="442" spans="1:4" hidden="1">
      <c r="A442" s="14" t="s">
        <v>234</v>
      </c>
      <c r="B442" s="14" t="s">
        <v>138</v>
      </c>
      <c r="C442" s="14">
        <v>0</v>
      </c>
      <c r="D442" s="14">
        <v>0</v>
      </c>
    </row>
    <row r="443" spans="1:4" hidden="1">
      <c r="A443" s="14" t="s">
        <v>546</v>
      </c>
      <c r="B443" s="14" t="s">
        <v>138</v>
      </c>
      <c r="C443" s="14">
        <v>0</v>
      </c>
      <c r="D443" s="14">
        <v>0</v>
      </c>
    </row>
    <row r="444" spans="1:4" hidden="1">
      <c r="A444" s="14" t="s">
        <v>235</v>
      </c>
      <c r="B444" s="14" t="s">
        <v>138</v>
      </c>
      <c r="C444" s="14">
        <v>0</v>
      </c>
      <c r="D444" s="14">
        <v>0</v>
      </c>
    </row>
    <row r="445" spans="1:4" hidden="1">
      <c r="A445" s="14" t="s">
        <v>229</v>
      </c>
      <c r="B445" s="14" t="s">
        <v>138</v>
      </c>
      <c r="C445" s="14">
        <v>0</v>
      </c>
      <c r="D445" s="14">
        <v>0</v>
      </c>
    </row>
    <row r="446" spans="1:4" hidden="1">
      <c r="A446" s="14" t="s">
        <v>228</v>
      </c>
      <c r="B446" s="14" t="s">
        <v>138</v>
      </c>
      <c r="C446" s="14">
        <v>0</v>
      </c>
      <c r="D446" s="14">
        <v>0</v>
      </c>
    </row>
    <row r="447" spans="1:4" hidden="1">
      <c r="A447" s="14" t="s">
        <v>227</v>
      </c>
      <c r="B447" s="14" t="s">
        <v>138</v>
      </c>
      <c r="C447" s="14">
        <v>0</v>
      </c>
      <c r="D447" s="14">
        <v>0</v>
      </c>
    </row>
    <row r="448" spans="1:4" hidden="1">
      <c r="A448" s="14" t="s">
        <v>236</v>
      </c>
      <c r="B448" s="14" t="s">
        <v>138</v>
      </c>
      <c r="C448" s="14">
        <v>0</v>
      </c>
      <c r="D448" s="14">
        <v>0</v>
      </c>
    </row>
    <row r="449" spans="1:4" hidden="1">
      <c r="A449" s="14" t="s">
        <v>226</v>
      </c>
      <c r="B449" s="14" t="s">
        <v>138</v>
      </c>
      <c r="C449" s="14">
        <v>0</v>
      </c>
      <c r="D449" s="14">
        <v>0</v>
      </c>
    </row>
    <row r="450" spans="1:4" hidden="1">
      <c r="A450" s="14" t="s">
        <v>545</v>
      </c>
      <c r="B450" s="14" t="s">
        <v>138</v>
      </c>
      <c r="C450" s="14">
        <v>0</v>
      </c>
      <c r="D450" s="14">
        <v>0</v>
      </c>
    </row>
    <row r="451" spans="1:4" hidden="1">
      <c r="A451" s="14" t="s">
        <v>225</v>
      </c>
      <c r="B451" s="14" t="s">
        <v>138</v>
      </c>
      <c r="C451" s="14">
        <v>0</v>
      </c>
      <c r="D451" s="14">
        <v>0</v>
      </c>
    </row>
    <row r="452" spans="1:4" hidden="1">
      <c r="A452" s="14" t="s">
        <v>603</v>
      </c>
      <c r="B452" s="14" t="s">
        <v>138</v>
      </c>
      <c r="C452" s="14">
        <v>0</v>
      </c>
      <c r="D452" s="14">
        <v>0</v>
      </c>
    </row>
    <row r="453" spans="1:4" hidden="1">
      <c r="A453" s="14" t="s">
        <v>239</v>
      </c>
      <c r="B453" s="14" t="s">
        <v>138</v>
      </c>
      <c r="C453" s="14">
        <v>0</v>
      </c>
      <c r="D453" s="14">
        <v>0</v>
      </c>
    </row>
    <row r="454" spans="1:4" hidden="1">
      <c r="A454" s="14" t="s">
        <v>240</v>
      </c>
      <c r="B454" s="14" t="s">
        <v>138</v>
      </c>
      <c r="C454" s="14">
        <v>0</v>
      </c>
      <c r="D454" s="14">
        <v>0</v>
      </c>
    </row>
    <row r="455" spans="1:4" hidden="1">
      <c r="A455" s="14" t="s">
        <v>224</v>
      </c>
      <c r="B455" s="14" t="s">
        <v>138</v>
      </c>
      <c r="C455" s="14">
        <v>0</v>
      </c>
      <c r="D455" s="14">
        <v>0</v>
      </c>
    </row>
    <row r="456" spans="1:4" hidden="1">
      <c r="A456" s="14" t="s">
        <v>190</v>
      </c>
      <c r="B456" s="14" t="s">
        <v>138</v>
      </c>
      <c r="C456" s="14">
        <v>0</v>
      </c>
      <c r="D456" s="14">
        <v>0</v>
      </c>
    </row>
    <row r="457" spans="1:4" hidden="1">
      <c r="A457" s="14" t="s">
        <v>191</v>
      </c>
      <c r="B457" s="14" t="s">
        <v>138</v>
      </c>
      <c r="C457" s="14">
        <v>0</v>
      </c>
      <c r="D457" s="14">
        <v>0</v>
      </c>
    </row>
    <row r="458" spans="1:4" hidden="1">
      <c r="A458" s="14" t="s">
        <v>223</v>
      </c>
      <c r="B458" s="14" t="s">
        <v>138</v>
      </c>
      <c r="C458" s="14">
        <v>0</v>
      </c>
      <c r="D458" s="14">
        <v>0</v>
      </c>
    </row>
    <row r="459" spans="1:4" hidden="1">
      <c r="A459" s="14" t="s">
        <v>192</v>
      </c>
      <c r="B459" s="14" t="s">
        <v>138</v>
      </c>
      <c r="C459" s="14">
        <v>0</v>
      </c>
      <c r="D459" s="14">
        <v>0</v>
      </c>
    </row>
    <row r="460" spans="1:4" hidden="1">
      <c r="A460" s="14" t="s">
        <v>553</v>
      </c>
      <c r="B460" s="14" t="s">
        <v>138</v>
      </c>
      <c r="C460" s="14">
        <v>0</v>
      </c>
      <c r="D460" s="14">
        <v>0</v>
      </c>
    </row>
    <row r="461" spans="1:4" hidden="1">
      <c r="A461" s="14" t="s">
        <v>222</v>
      </c>
      <c r="B461" s="14" t="s">
        <v>138</v>
      </c>
      <c r="C461" s="14">
        <v>0</v>
      </c>
      <c r="D461" s="14">
        <v>0</v>
      </c>
    </row>
    <row r="462" spans="1:4" hidden="1">
      <c r="A462" s="14" t="s">
        <v>195</v>
      </c>
      <c r="B462" s="14" t="s">
        <v>138</v>
      </c>
      <c r="C462" s="14">
        <v>0</v>
      </c>
      <c r="D462" s="14">
        <v>0</v>
      </c>
    </row>
    <row r="463" spans="1:4" hidden="1">
      <c r="A463" s="14" t="s">
        <v>500</v>
      </c>
      <c r="B463" s="14" t="s">
        <v>138</v>
      </c>
      <c r="C463" s="14">
        <v>0</v>
      </c>
      <c r="D463" s="14">
        <v>0</v>
      </c>
    </row>
    <row r="464" spans="1:4" hidden="1">
      <c r="A464" s="14" t="s">
        <v>220</v>
      </c>
      <c r="B464" s="14" t="s">
        <v>138</v>
      </c>
      <c r="C464" s="14">
        <v>0</v>
      </c>
      <c r="D464" s="14">
        <v>0</v>
      </c>
    </row>
    <row r="465" spans="1:4" hidden="1">
      <c r="A465" s="14" t="s">
        <v>158</v>
      </c>
      <c r="B465" s="14" t="s">
        <v>138</v>
      </c>
      <c r="C465" s="14">
        <v>0</v>
      </c>
      <c r="D465" s="14">
        <v>0</v>
      </c>
    </row>
    <row r="466" spans="1:4" hidden="1">
      <c r="A466" s="14" t="s">
        <v>197</v>
      </c>
      <c r="B466" s="14" t="s">
        <v>138</v>
      </c>
      <c r="C466" s="14">
        <v>0</v>
      </c>
      <c r="D466" s="14">
        <v>0</v>
      </c>
    </row>
    <row r="467" spans="1:4" hidden="1">
      <c r="A467" s="14" t="s">
        <v>522</v>
      </c>
      <c r="B467" s="14" t="s">
        <v>138</v>
      </c>
      <c r="C467" s="14">
        <v>0</v>
      </c>
      <c r="D467" s="14">
        <v>0</v>
      </c>
    </row>
    <row r="468" spans="1:4" hidden="1">
      <c r="A468" s="14" t="s">
        <v>216</v>
      </c>
      <c r="B468" s="14" t="s">
        <v>138</v>
      </c>
      <c r="C468" s="14">
        <v>0</v>
      </c>
      <c r="D468" s="14">
        <v>0</v>
      </c>
    </row>
    <row r="469" spans="1:4" hidden="1">
      <c r="A469" s="14" t="s">
        <v>198</v>
      </c>
      <c r="B469" s="14" t="s">
        <v>138</v>
      </c>
      <c r="C469" s="14">
        <v>0</v>
      </c>
      <c r="D469" s="14">
        <v>0</v>
      </c>
    </row>
    <row r="470" spans="1:4" hidden="1">
      <c r="A470" s="14" t="s">
        <v>160</v>
      </c>
      <c r="B470" s="14" t="s">
        <v>138</v>
      </c>
      <c r="C470" s="14">
        <v>0</v>
      </c>
      <c r="D470" s="14">
        <v>0</v>
      </c>
    </row>
    <row r="471" spans="1:4" hidden="1">
      <c r="A471" s="14" t="s">
        <v>214</v>
      </c>
      <c r="B471" s="14" t="s">
        <v>138</v>
      </c>
      <c r="C471" s="14">
        <v>0</v>
      </c>
      <c r="D471" s="14">
        <v>0</v>
      </c>
    </row>
    <row r="472" spans="1:4" hidden="1">
      <c r="A472" s="14" t="s">
        <v>499</v>
      </c>
      <c r="B472" s="14" t="s">
        <v>138</v>
      </c>
      <c r="C472" s="14">
        <v>0</v>
      </c>
      <c r="D472" s="14">
        <v>0</v>
      </c>
    </row>
    <row r="473" spans="1:4" hidden="1">
      <c r="A473" s="14" t="s">
        <v>212</v>
      </c>
      <c r="B473" s="14" t="s">
        <v>138</v>
      </c>
      <c r="C473" s="14">
        <v>0</v>
      </c>
      <c r="D473" s="14">
        <v>0</v>
      </c>
    </row>
    <row r="474" spans="1:4" hidden="1">
      <c r="A474" s="14" t="s">
        <v>200</v>
      </c>
      <c r="B474" s="14" t="s">
        <v>138</v>
      </c>
      <c r="C474" s="14">
        <v>0</v>
      </c>
      <c r="D474" s="14">
        <v>0</v>
      </c>
    </row>
    <row r="475" spans="1:4" hidden="1">
      <c r="A475" s="14" t="s">
        <v>201</v>
      </c>
      <c r="B475" s="14" t="s">
        <v>138</v>
      </c>
      <c r="C475" s="14">
        <v>0</v>
      </c>
      <c r="D475" s="14">
        <v>0</v>
      </c>
    </row>
    <row r="476" spans="1:4" hidden="1">
      <c r="A476" s="14" t="s">
        <v>215</v>
      </c>
      <c r="B476" s="14" t="s">
        <v>138</v>
      </c>
      <c r="C476" s="14">
        <v>0</v>
      </c>
      <c r="D476" s="14">
        <v>0</v>
      </c>
    </row>
    <row r="477" spans="1:4" hidden="1">
      <c r="A477" s="14" t="s">
        <v>202</v>
      </c>
      <c r="B477" s="14" t="s">
        <v>138</v>
      </c>
      <c r="C477" s="14">
        <v>0</v>
      </c>
      <c r="D477" s="14">
        <v>0</v>
      </c>
    </row>
    <row r="478" spans="1:4" hidden="1">
      <c r="A478" s="14" t="s">
        <v>203</v>
      </c>
      <c r="B478" s="14" t="s">
        <v>138</v>
      </c>
      <c r="C478" s="14">
        <v>0</v>
      </c>
      <c r="D478" s="14">
        <v>0</v>
      </c>
    </row>
    <row r="479" spans="1:4" hidden="1">
      <c r="A479" s="14" t="s">
        <v>204</v>
      </c>
      <c r="B479" s="14" t="s">
        <v>138</v>
      </c>
      <c r="C479" s="14">
        <v>0</v>
      </c>
      <c r="D479" s="14">
        <v>0</v>
      </c>
    </row>
    <row r="480" spans="1:4" hidden="1">
      <c r="A480" s="14" t="s">
        <v>171</v>
      </c>
      <c r="B480" s="14" t="s">
        <v>138</v>
      </c>
      <c r="C480" s="14">
        <v>0</v>
      </c>
      <c r="D480" s="14">
        <v>0</v>
      </c>
    </row>
    <row r="481" spans="1:4" hidden="1">
      <c r="A481" s="14" t="s">
        <v>205</v>
      </c>
      <c r="B481" s="14" t="s">
        <v>138</v>
      </c>
      <c r="C481" s="14">
        <v>0</v>
      </c>
      <c r="D481" s="14">
        <v>0</v>
      </c>
    </row>
    <row r="482" spans="1:4" hidden="1">
      <c r="A482" s="14" t="s">
        <v>604</v>
      </c>
      <c r="B482" s="14" t="s">
        <v>31</v>
      </c>
      <c r="C482" s="14">
        <v>0</v>
      </c>
      <c r="D482" s="14">
        <v>0</v>
      </c>
    </row>
    <row r="483" spans="1:4" hidden="1">
      <c r="A483" s="14" t="s">
        <v>605</v>
      </c>
      <c r="B483" s="14" t="s">
        <v>31</v>
      </c>
      <c r="C483" s="14">
        <v>0</v>
      </c>
      <c r="D483" s="14">
        <v>0</v>
      </c>
    </row>
    <row r="484" spans="1:4" hidden="1">
      <c r="A484" s="14" t="s">
        <v>100</v>
      </c>
      <c r="B484" s="14" t="s">
        <v>31</v>
      </c>
      <c r="C484" s="14">
        <v>0</v>
      </c>
      <c r="D484" s="14">
        <v>0</v>
      </c>
    </row>
    <row r="485" spans="1:4" hidden="1">
      <c r="A485" s="14" t="s">
        <v>125</v>
      </c>
      <c r="B485" s="14" t="s">
        <v>31</v>
      </c>
      <c r="C485" s="14">
        <v>0</v>
      </c>
      <c r="D485" s="14">
        <v>0</v>
      </c>
    </row>
    <row r="486" spans="1:4" hidden="1">
      <c r="A486" s="14" t="s">
        <v>548</v>
      </c>
      <c r="B486" s="14" t="s">
        <v>259</v>
      </c>
      <c r="C486" s="14">
        <v>0</v>
      </c>
      <c r="D486" s="14">
        <v>0</v>
      </c>
    </row>
    <row r="487" spans="1:4" hidden="1">
      <c r="A487" s="14" t="s">
        <v>127</v>
      </c>
      <c r="B487" s="14" t="s">
        <v>31</v>
      </c>
      <c r="C487" s="14">
        <v>0</v>
      </c>
      <c r="D487" s="14">
        <v>0</v>
      </c>
    </row>
    <row r="488" spans="1:4" hidden="1">
      <c r="A488" s="14" t="s">
        <v>606</v>
      </c>
      <c r="B488" s="14" t="s">
        <v>31</v>
      </c>
      <c r="C488" s="14">
        <v>0</v>
      </c>
      <c r="D488" s="14">
        <v>0</v>
      </c>
    </row>
    <row r="489" spans="1:4" hidden="1">
      <c r="A489" s="14" t="s">
        <v>128</v>
      </c>
      <c r="B489" s="14" t="s">
        <v>31</v>
      </c>
      <c r="C489" s="14">
        <v>0</v>
      </c>
      <c r="D489" s="14">
        <v>0</v>
      </c>
    </row>
    <row r="490" spans="1:4" hidden="1">
      <c r="A490" s="14" t="s">
        <v>526</v>
      </c>
      <c r="B490" s="14" t="s">
        <v>259</v>
      </c>
      <c r="C490" s="14">
        <v>0</v>
      </c>
      <c r="D490" s="14">
        <v>0</v>
      </c>
    </row>
    <row r="491" spans="1:4" hidden="1">
      <c r="A491" s="14" t="s">
        <v>327</v>
      </c>
      <c r="B491" s="14" t="s">
        <v>259</v>
      </c>
      <c r="C491" s="14">
        <v>0</v>
      </c>
      <c r="D491" s="14">
        <v>0</v>
      </c>
    </row>
    <row r="492" spans="1:4" hidden="1">
      <c r="A492" s="14" t="s">
        <v>274</v>
      </c>
      <c r="B492" s="14" t="s">
        <v>259</v>
      </c>
      <c r="C492" s="14">
        <v>0</v>
      </c>
      <c r="D492" s="14">
        <v>0</v>
      </c>
    </row>
    <row r="493" spans="1:4" hidden="1">
      <c r="A493" s="14" t="s">
        <v>129</v>
      </c>
      <c r="B493" s="14" t="s">
        <v>31</v>
      </c>
      <c r="C493" s="14">
        <v>0</v>
      </c>
      <c r="D493" s="14">
        <v>0</v>
      </c>
    </row>
    <row r="494" spans="1:4" hidden="1">
      <c r="A494" s="14" t="s">
        <v>328</v>
      </c>
      <c r="B494" s="14" t="s">
        <v>259</v>
      </c>
      <c r="C494" s="14">
        <v>0</v>
      </c>
      <c r="D494" s="14">
        <v>0</v>
      </c>
    </row>
    <row r="495" spans="1:4" hidden="1">
      <c r="A495" s="14" t="s">
        <v>130</v>
      </c>
      <c r="B495" s="14" t="s">
        <v>31</v>
      </c>
      <c r="C495" s="14">
        <v>0</v>
      </c>
      <c r="D495" s="14">
        <v>0</v>
      </c>
    </row>
    <row r="496" spans="1:4" hidden="1">
      <c r="A496" s="14" t="s">
        <v>330</v>
      </c>
      <c r="B496" s="14" t="s">
        <v>259</v>
      </c>
      <c r="C496" s="14">
        <v>0</v>
      </c>
      <c r="D496" s="14">
        <v>0</v>
      </c>
    </row>
    <row r="497" spans="1:4" hidden="1">
      <c r="A497" s="14" t="s">
        <v>331</v>
      </c>
      <c r="B497" s="14" t="s">
        <v>259</v>
      </c>
      <c r="C497" s="14">
        <v>0</v>
      </c>
      <c r="D497" s="14">
        <v>0</v>
      </c>
    </row>
    <row r="498" spans="1:4" hidden="1">
      <c r="A498" s="14" t="s">
        <v>607</v>
      </c>
      <c r="B498" s="14" t="s">
        <v>31</v>
      </c>
      <c r="C498" s="14">
        <v>0</v>
      </c>
      <c r="D498" s="14">
        <v>0</v>
      </c>
    </row>
    <row r="499" spans="1:4" hidden="1">
      <c r="A499" s="14" t="s">
        <v>131</v>
      </c>
      <c r="B499" s="14" t="s">
        <v>31</v>
      </c>
      <c r="C499" s="14">
        <v>0</v>
      </c>
      <c r="D499" s="14">
        <v>0</v>
      </c>
    </row>
    <row r="500" spans="1:4" hidden="1">
      <c r="A500" s="14" t="s">
        <v>608</v>
      </c>
      <c r="B500" s="14" t="s">
        <v>259</v>
      </c>
      <c r="C500" s="14">
        <v>0</v>
      </c>
      <c r="D500" s="14">
        <v>0</v>
      </c>
    </row>
    <row r="501" spans="1:4" hidden="1">
      <c r="A501" s="14" t="s">
        <v>132</v>
      </c>
      <c r="B501" s="14" t="s">
        <v>31</v>
      </c>
      <c r="C501" s="14">
        <v>0</v>
      </c>
      <c r="D501" s="14">
        <v>0</v>
      </c>
    </row>
    <row r="502" spans="1:4" hidden="1">
      <c r="A502" s="14" t="s">
        <v>332</v>
      </c>
      <c r="B502" s="14" t="s">
        <v>259</v>
      </c>
      <c r="C502" s="14">
        <v>0</v>
      </c>
      <c r="D502" s="14">
        <v>0</v>
      </c>
    </row>
    <row r="503" spans="1:4" hidden="1">
      <c r="A503" s="14" t="s">
        <v>333</v>
      </c>
      <c r="B503" s="14" t="s">
        <v>259</v>
      </c>
      <c r="C503" s="14">
        <v>0</v>
      </c>
      <c r="D503" s="14">
        <v>0</v>
      </c>
    </row>
    <row r="504" spans="1:4" hidden="1">
      <c r="A504" s="14" t="s">
        <v>334</v>
      </c>
      <c r="B504" s="14" t="s">
        <v>259</v>
      </c>
      <c r="C504" s="14">
        <v>0</v>
      </c>
      <c r="D504" s="14">
        <v>0</v>
      </c>
    </row>
    <row r="505" spans="1:4" hidden="1">
      <c r="A505" s="14" t="s">
        <v>609</v>
      </c>
      <c r="B505" s="14" t="s">
        <v>259</v>
      </c>
      <c r="C505" s="14">
        <v>0</v>
      </c>
      <c r="D505" s="14">
        <v>0</v>
      </c>
    </row>
    <row r="506" spans="1:4" hidden="1">
      <c r="A506" s="14" t="s">
        <v>336</v>
      </c>
      <c r="B506" s="14" t="s">
        <v>259</v>
      </c>
      <c r="C506" s="14">
        <v>0</v>
      </c>
      <c r="D506" s="14">
        <v>0</v>
      </c>
    </row>
    <row r="507" spans="1:4" hidden="1">
      <c r="A507" s="14" t="s">
        <v>437</v>
      </c>
      <c r="B507" s="14" t="s">
        <v>259</v>
      </c>
      <c r="C507" s="14">
        <v>0</v>
      </c>
      <c r="D507" s="14">
        <v>0</v>
      </c>
    </row>
    <row r="508" spans="1:4" hidden="1">
      <c r="A508" s="14" t="s">
        <v>610</v>
      </c>
      <c r="B508" s="14" t="s">
        <v>31</v>
      </c>
      <c r="C508" s="14">
        <v>0</v>
      </c>
      <c r="D508" s="14">
        <v>0</v>
      </c>
    </row>
    <row r="509" spans="1:4" hidden="1">
      <c r="A509" s="14" t="s">
        <v>482</v>
      </c>
      <c r="B509" s="14" t="s">
        <v>259</v>
      </c>
      <c r="C509" s="14">
        <v>0</v>
      </c>
      <c r="D509" s="14">
        <v>0</v>
      </c>
    </row>
    <row r="510" spans="1:4" hidden="1">
      <c r="A510" s="14" t="s">
        <v>134</v>
      </c>
      <c r="B510" s="14" t="s">
        <v>31</v>
      </c>
      <c r="C510" s="14">
        <v>0</v>
      </c>
      <c r="D510" s="14">
        <v>0</v>
      </c>
    </row>
    <row r="511" spans="1:4" hidden="1">
      <c r="A511" s="14" t="s">
        <v>529</v>
      </c>
      <c r="B511" s="14" t="s">
        <v>259</v>
      </c>
      <c r="C511" s="14">
        <v>0</v>
      </c>
      <c r="D511" s="14">
        <v>0</v>
      </c>
    </row>
    <row r="512" spans="1:4" hidden="1">
      <c r="A512" s="14" t="s">
        <v>289</v>
      </c>
      <c r="B512" s="14" t="s">
        <v>259</v>
      </c>
      <c r="C512" s="14">
        <v>0</v>
      </c>
      <c r="D512" s="14">
        <v>0</v>
      </c>
    </row>
    <row r="513" spans="1:4" hidden="1">
      <c r="A513" s="14" t="s">
        <v>611</v>
      </c>
      <c r="B513" s="14" t="s">
        <v>31</v>
      </c>
      <c r="C513" s="14">
        <v>0</v>
      </c>
      <c r="D513" s="14">
        <v>0</v>
      </c>
    </row>
    <row r="514" spans="1:4" hidden="1">
      <c r="A514" s="14" t="s">
        <v>427</v>
      </c>
      <c r="B514" s="14" t="s">
        <v>259</v>
      </c>
      <c r="C514" s="14">
        <v>0</v>
      </c>
      <c r="D514" s="14">
        <v>0</v>
      </c>
    </row>
    <row r="515" spans="1:4" hidden="1">
      <c r="A515" s="14" t="s">
        <v>290</v>
      </c>
      <c r="B515" s="14" t="s">
        <v>259</v>
      </c>
      <c r="C515" s="14">
        <v>0</v>
      </c>
      <c r="D515" s="14">
        <v>0</v>
      </c>
    </row>
    <row r="516" spans="1:4" hidden="1">
      <c r="A516" s="14" t="s">
        <v>275</v>
      </c>
      <c r="B516" s="14" t="s">
        <v>259</v>
      </c>
      <c r="C516" s="14">
        <v>0</v>
      </c>
      <c r="D516" s="14">
        <v>0</v>
      </c>
    </row>
    <row r="517" spans="1:4" hidden="1">
      <c r="A517" s="14" t="s">
        <v>428</v>
      </c>
      <c r="B517" s="14" t="s">
        <v>259</v>
      </c>
      <c r="C517" s="14">
        <v>0</v>
      </c>
      <c r="D517" s="14">
        <v>0</v>
      </c>
    </row>
    <row r="518" spans="1:4" hidden="1">
      <c r="A518" s="14" t="s">
        <v>291</v>
      </c>
      <c r="B518" s="14" t="s">
        <v>259</v>
      </c>
      <c r="C518" s="14">
        <v>0</v>
      </c>
      <c r="D518" s="14">
        <v>0</v>
      </c>
    </row>
    <row r="519" spans="1:4" hidden="1">
      <c r="A519" s="14" t="s">
        <v>292</v>
      </c>
      <c r="B519" s="14" t="s">
        <v>259</v>
      </c>
      <c r="C519" s="14">
        <v>0</v>
      </c>
      <c r="D519" s="14">
        <v>0</v>
      </c>
    </row>
    <row r="520" spans="1:4" hidden="1">
      <c r="A520" s="14" t="s">
        <v>293</v>
      </c>
      <c r="B520" s="14" t="s">
        <v>259</v>
      </c>
      <c r="C520" s="14">
        <v>0</v>
      </c>
      <c r="D520" s="14">
        <v>0</v>
      </c>
    </row>
    <row r="521" spans="1:4" hidden="1">
      <c r="A521" s="14" t="s">
        <v>135</v>
      </c>
      <c r="B521" s="14" t="s">
        <v>31</v>
      </c>
      <c r="C521" s="14">
        <v>0</v>
      </c>
      <c r="D521" s="14">
        <v>0</v>
      </c>
    </row>
    <row r="522" spans="1:4" hidden="1">
      <c r="A522" s="14" t="s">
        <v>136</v>
      </c>
      <c r="B522" s="14" t="s">
        <v>31</v>
      </c>
      <c r="C522" s="14">
        <v>0</v>
      </c>
      <c r="D522" s="14">
        <v>0</v>
      </c>
    </row>
    <row r="523" spans="1:4" hidden="1">
      <c r="A523" s="14" t="s">
        <v>294</v>
      </c>
      <c r="B523" s="14" t="s">
        <v>259</v>
      </c>
      <c r="C523" s="14">
        <v>0</v>
      </c>
      <c r="D523" s="14">
        <v>0</v>
      </c>
    </row>
    <row r="524" spans="1:4" hidden="1">
      <c r="A524" s="14" t="s">
        <v>612</v>
      </c>
      <c r="B524" s="14" t="s">
        <v>259</v>
      </c>
      <c r="C524" s="14">
        <v>0</v>
      </c>
      <c r="D524" s="14">
        <v>0</v>
      </c>
    </row>
    <row r="525" spans="1:4" hidden="1">
      <c r="A525" s="14" t="s">
        <v>115</v>
      </c>
      <c r="B525" s="14" t="s">
        <v>31</v>
      </c>
      <c r="C525" s="14">
        <v>0</v>
      </c>
      <c r="D525" s="14">
        <v>0</v>
      </c>
    </row>
    <row r="526" spans="1:4" hidden="1">
      <c r="A526" s="14" t="s">
        <v>613</v>
      </c>
      <c r="B526" s="14" t="s">
        <v>259</v>
      </c>
      <c r="C526" s="14">
        <v>0</v>
      </c>
      <c r="D526" s="14">
        <v>0</v>
      </c>
    </row>
    <row r="527" spans="1:4" hidden="1">
      <c r="A527" s="14" t="s">
        <v>530</v>
      </c>
      <c r="B527" s="14" t="s">
        <v>259</v>
      </c>
      <c r="C527" s="14">
        <v>0</v>
      </c>
      <c r="D527" s="14">
        <v>0</v>
      </c>
    </row>
    <row r="528" spans="1:4" hidden="1">
      <c r="A528" s="14" t="s">
        <v>116</v>
      </c>
      <c r="B528" s="14" t="s">
        <v>31</v>
      </c>
      <c r="C528" s="14">
        <v>0</v>
      </c>
      <c r="D528" s="14">
        <v>0</v>
      </c>
    </row>
    <row r="529" spans="1:4" hidden="1">
      <c r="A529" s="14" t="s">
        <v>296</v>
      </c>
      <c r="B529" s="14" t="s">
        <v>259</v>
      </c>
      <c r="C529" s="14">
        <v>0</v>
      </c>
      <c r="D529" s="14">
        <v>0</v>
      </c>
    </row>
    <row r="530" spans="1:4" hidden="1">
      <c r="A530" s="14" t="s">
        <v>524</v>
      </c>
      <c r="B530" s="14" t="s">
        <v>259</v>
      </c>
      <c r="C530" s="14">
        <v>0</v>
      </c>
      <c r="D530" s="14">
        <v>0</v>
      </c>
    </row>
    <row r="531" spans="1:4" hidden="1">
      <c r="A531" s="14" t="s">
        <v>117</v>
      </c>
      <c r="B531" s="14" t="s">
        <v>31</v>
      </c>
      <c r="C531" s="14">
        <v>0</v>
      </c>
      <c r="D531" s="14">
        <v>0</v>
      </c>
    </row>
    <row r="532" spans="1:4" hidden="1">
      <c r="A532" s="14" t="s">
        <v>50</v>
      </c>
      <c r="B532" s="14" t="s">
        <v>31</v>
      </c>
      <c r="C532" s="14">
        <v>0</v>
      </c>
      <c r="D532" s="14">
        <v>0</v>
      </c>
    </row>
    <row r="533" spans="1:4" hidden="1">
      <c r="A533" s="14" t="s">
        <v>541</v>
      </c>
      <c r="B533" s="14" t="s">
        <v>138</v>
      </c>
      <c r="C533" s="14">
        <v>0</v>
      </c>
      <c r="D533" s="14">
        <v>0</v>
      </c>
    </row>
    <row r="534" spans="1:4" hidden="1">
      <c r="A534" s="14" t="s">
        <v>337</v>
      </c>
      <c r="B534" s="14" t="s">
        <v>259</v>
      </c>
      <c r="C534" s="14">
        <v>0</v>
      </c>
      <c r="D534" s="14">
        <v>0</v>
      </c>
    </row>
    <row r="535" spans="1:4" hidden="1">
      <c r="A535" s="14" t="s">
        <v>504</v>
      </c>
      <c r="B535" s="14" t="s">
        <v>259</v>
      </c>
      <c r="C535" s="14">
        <v>0</v>
      </c>
      <c r="D535" s="14">
        <v>0</v>
      </c>
    </row>
    <row r="536" spans="1:4" hidden="1">
      <c r="A536" s="14" t="s">
        <v>338</v>
      </c>
      <c r="B536" s="14" t="s">
        <v>259</v>
      </c>
      <c r="C536" s="14">
        <v>0</v>
      </c>
      <c r="D536" s="14">
        <v>0</v>
      </c>
    </row>
    <row r="537" spans="1:4" hidden="1">
      <c r="A537" s="14" t="s">
        <v>614</v>
      </c>
      <c r="B537" s="14" t="s">
        <v>31</v>
      </c>
      <c r="C537" s="14">
        <v>0</v>
      </c>
      <c r="D537" s="14">
        <v>0</v>
      </c>
    </row>
    <row r="538" spans="1:4" hidden="1">
      <c r="A538" s="14" t="s">
        <v>339</v>
      </c>
      <c r="B538" s="14" t="s">
        <v>259</v>
      </c>
      <c r="C538" s="14">
        <v>0</v>
      </c>
      <c r="D538" s="14">
        <v>0</v>
      </c>
    </row>
    <row r="539" spans="1:4" hidden="1">
      <c r="A539" s="14" t="s">
        <v>340</v>
      </c>
      <c r="B539" s="14" t="s">
        <v>259</v>
      </c>
      <c r="C539" s="14">
        <v>0</v>
      </c>
      <c r="D539" s="14">
        <v>0</v>
      </c>
    </row>
    <row r="540" spans="1:4" hidden="1">
      <c r="A540" s="14" t="s">
        <v>341</v>
      </c>
      <c r="B540" s="14" t="s">
        <v>259</v>
      </c>
      <c r="C540" s="14">
        <v>0</v>
      </c>
      <c r="D540" s="14">
        <v>0</v>
      </c>
    </row>
    <row r="541" spans="1:4" hidden="1">
      <c r="A541" s="14" t="s">
        <v>505</v>
      </c>
      <c r="B541" s="14" t="s">
        <v>259</v>
      </c>
      <c r="C541" s="14">
        <v>0</v>
      </c>
      <c r="D541" s="14">
        <v>0</v>
      </c>
    </row>
    <row r="542" spans="1:4" hidden="1">
      <c r="A542" s="14" t="s">
        <v>544</v>
      </c>
      <c r="B542" s="14" t="s">
        <v>259</v>
      </c>
      <c r="C542" s="14">
        <v>0</v>
      </c>
      <c r="D542" s="14">
        <v>0</v>
      </c>
    </row>
    <row r="543" spans="1:4" hidden="1">
      <c r="A543" s="14" t="s">
        <v>112</v>
      </c>
      <c r="B543" s="14" t="s">
        <v>31</v>
      </c>
      <c r="C543" s="14">
        <v>0</v>
      </c>
      <c r="D543" s="14">
        <v>0</v>
      </c>
    </row>
    <row r="544" spans="1:4" hidden="1">
      <c r="A544" s="14" t="s">
        <v>113</v>
      </c>
      <c r="B544" s="14" t="s">
        <v>31</v>
      </c>
      <c r="C544" s="14">
        <v>0</v>
      </c>
      <c r="D544" s="14">
        <v>0</v>
      </c>
    </row>
    <row r="545" spans="1:4" hidden="1">
      <c r="A545" s="14" t="s">
        <v>434</v>
      </c>
      <c r="B545" s="14" t="s">
        <v>259</v>
      </c>
      <c r="C545" s="14">
        <v>0</v>
      </c>
      <c r="D545" s="14">
        <v>0</v>
      </c>
    </row>
    <row r="546" spans="1:4" hidden="1">
      <c r="A546" s="14" t="s">
        <v>506</v>
      </c>
      <c r="B546" s="14" t="s">
        <v>259</v>
      </c>
      <c r="C546" s="14">
        <v>0</v>
      </c>
      <c r="D546" s="14">
        <v>0</v>
      </c>
    </row>
    <row r="547" spans="1:4" hidden="1">
      <c r="A547" s="14" t="s">
        <v>342</v>
      </c>
      <c r="B547" s="14" t="s">
        <v>259</v>
      </c>
      <c r="C547" s="14">
        <v>0</v>
      </c>
      <c r="D547" s="14">
        <v>0</v>
      </c>
    </row>
    <row r="548" spans="1:4" hidden="1">
      <c r="A548" s="14" t="s">
        <v>615</v>
      </c>
      <c r="B548" s="14" t="s">
        <v>259</v>
      </c>
      <c r="C548" s="14">
        <v>0</v>
      </c>
      <c r="D548" s="14">
        <v>0</v>
      </c>
    </row>
    <row r="549" spans="1:4" hidden="1">
      <c r="A549" s="14" t="s">
        <v>312</v>
      </c>
      <c r="B549" s="14" t="s">
        <v>259</v>
      </c>
      <c r="C549" s="14">
        <v>0</v>
      </c>
      <c r="D549" s="14">
        <v>0</v>
      </c>
    </row>
    <row r="550" spans="1:4" hidden="1">
      <c r="A550" s="14" t="s">
        <v>313</v>
      </c>
      <c r="B550" s="14" t="s">
        <v>259</v>
      </c>
      <c r="C550" s="14">
        <v>0</v>
      </c>
      <c r="D550" s="14">
        <v>0</v>
      </c>
    </row>
    <row r="551" spans="1:4" hidden="1">
      <c r="A551" s="14" t="s">
        <v>314</v>
      </c>
      <c r="B551" s="14" t="s">
        <v>259</v>
      </c>
      <c r="C551" s="14">
        <v>0</v>
      </c>
      <c r="D551" s="14">
        <v>0</v>
      </c>
    </row>
    <row r="552" spans="1:4" hidden="1">
      <c r="A552" s="14" t="s">
        <v>616</v>
      </c>
      <c r="B552" s="14" t="s">
        <v>31</v>
      </c>
      <c r="C552" s="14">
        <v>0</v>
      </c>
      <c r="D552" s="14">
        <v>0</v>
      </c>
    </row>
    <row r="553" spans="1:4" hidden="1">
      <c r="A553" s="14" t="s">
        <v>481</v>
      </c>
      <c r="B553" s="14" t="s">
        <v>259</v>
      </c>
      <c r="C553" s="14">
        <v>0</v>
      </c>
      <c r="D553" s="14">
        <v>0</v>
      </c>
    </row>
    <row r="554" spans="1:4" hidden="1">
      <c r="A554" s="14" t="s">
        <v>315</v>
      </c>
      <c r="B554" s="14" t="s">
        <v>259</v>
      </c>
      <c r="C554" s="14">
        <v>0</v>
      </c>
      <c r="D554" s="14">
        <v>0</v>
      </c>
    </row>
    <row r="555" spans="1:4" hidden="1">
      <c r="A555" s="14" t="s">
        <v>542</v>
      </c>
      <c r="B555" s="14" t="s">
        <v>259</v>
      </c>
      <c r="C555" s="14">
        <v>0</v>
      </c>
      <c r="D555" s="14">
        <v>0</v>
      </c>
    </row>
    <row r="556" spans="1:4" hidden="1">
      <c r="A556" s="14" t="s">
        <v>114</v>
      </c>
      <c r="B556" s="14" t="s">
        <v>31</v>
      </c>
      <c r="C556" s="14">
        <v>0</v>
      </c>
      <c r="D556" s="14">
        <v>0</v>
      </c>
    </row>
    <row r="557" spans="1:4" hidden="1">
      <c r="A557" s="14" t="s">
        <v>435</v>
      </c>
      <c r="B557" s="14" t="s">
        <v>259</v>
      </c>
      <c r="C557" s="14">
        <v>0</v>
      </c>
      <c r="D557" s="14">
        <v>0</v>
      </c>
    </row>
    <row r="558" spans="1:4" hidden="1">
      <c r="A558" s="14" t="s">
        <v>91</v>
      </c>
      <c r="B558" s="14" t="s">
        <v>31</v>
      </c>
      <c r="C558" s="14">
        <v>0</v>
      </c>
      <c r="D558" s="14">
        <v>0</v>
      </c>
    </row>
    <row r="559" spans="1:4" hidden="1">
      <c r="A559" s="14" t="s">
        <v>93</v>
      </c>
      <c r="B559" s="14" t="s">
        <v>31</v>
      </c>
      <c r="C559" s="14">
        <v>0</v>
      </c>
      <c r="D559" s="14">
        <v>0</v>
      </c>
    </row>
    <row r="560" spans="1:4" hidden="1">
      <c r="A560" s="14" t="s">
        <v>617</v>
      </c>
      <c r="B560" s="14" t="s">
        <v>259</v>
      </c>
      <c r="C560" s="14">
        <v>0</v>
      </c>
      <c r="D560" s="14">
        <v>0</v>
      </c>
    </row>
    <row r="561" spans="1:4" hidden="1">
      <c r="A561" s="14" t="s">
        <v>507</v>
      </c>
      <c r="B561" s="14" t="s">
        <v>259</v>
      </c>
      <c r="C561" s="14">
        <v>0</v>
      </c>
      <c r="D561" s="14">
        <v>0</v>
      </c>
    </row>
    <row r="562" spans="1:4" hidden="1">
      <c r="A562" s="14" t="s">
        <v>94</v>
      </c>
      <c r="B562" s="14" t="s">
        <v>31</v>
      </c>
      <c r="C562" s="14">
        <v>0</v>
      </c>
      <c r="D562" s="14">
        <v>0</v>
      </c>
    </row>
    <row r="563" spans="1:4" hidden="1">
      <c r="A563" s="14" t="s">
        <v>618</v>
      </c>
      <c r="B563" s="14" t="s">
        <v>259</v>
      </c>
      <c r="C563" s="14">
        <v>0</v>
      </c>
      <c r="D563" s="14">
        <v>0</v>
      </c>
    </row>
    <row r="564" spans="1:4" hidden="1">
      <c r="A564" s="14" t="s">
        <v>318</v>
      </c>
      <c r="B564" s="14" t="s">
        <v>259</v>
      </c>
      <c r="C564" s="14">
        <v>0</v>
      </c>
      <c r="D564" s="14">
        <v>0</v>
      </c>
    </row>
    <row r="565" spans="1:4" hidden="1">
      <c r="A565" s="14" t="s">
        <v>95</v>
      </c>
      <c r="B565" s="14" t="s">
        <v>31</v>
      </c>
      <c r="C565" s="14">
        <v>0</v>
      </c>
      <c r="D565" s="14">
        <v>0</v>
      </c>
    </row>
    <row r="566" spans="1:4" hidden="1">
      <c r="A566" s="14" t="s">
        <v>319</v>
      </c>
      <c r="B566" s="14" t="s">
        <v>259</v>
      </c>
      <c r="C566" s="14">
        <v>0</v>
      </c>
      <c r="D566" s="14">
        <v>0</v>
      </c>
    </row>
    <row r="567" spans="1:4" hidden="1">
      <c r="A567" s="14" t="s">
        <v>96</v>
      </c>
      <c r="B567" s="14" t="s">
        <v>31</v>
      </c>
      <c r="C567" s="14">
        <v>0</v>
      </c>
      <c r="D567" s="14">
        <v>0</v>
      </c>
    </row>
    <row r="568" spans="1:4" hidden="1">
      <c r="A568" s="14" t="s">
        <v>493</v>
      </c>
      <c r="B568" s="14" t="s">
        <v>259</v>
      </c>
      <c r="C568" s="14">
        <v>0</v>
      </c>
      <c r="D568" s="14">
        <v>0</v>
      </c>
    </row>
    <row r="569" spans="1:4" hidden="1">
      <c r="A569" s="14" t="s">
        <v>97</v>
      </c>
      <c r="B569" s="14" t="s">
        <v>31</v>
      </c>
      <c r="C569" s="14">
        <v>0</v>
      </c>
      <c r="D569" s="14">
        <v>0</v>
      </c>
    </row>
    <row r="570" spans="1:4" hidden="1">
      <c r="A570" s="14" t="s">
        <v>508</v>
      </c>
      <c r="B570" s="14" t="s">
        <v>259</v>
      </c>
      <c r="C570" s="14">
        <v>0</v>
      </c>
      <c r="D570" s="14">
        <v>0</v>
      </c>
    </row>
    <row r="571" spans="1:4" hidden="1">
      <c r="A571" s="14" t="s">
        <v>321</v>
      </c>
      <c r="B571" s="14" t="s">
        <v>259</v>
      </c>
      <c r="C571" s="14">
        <v>0</v>
      </c>
      <c r="D571" s="14">
        <v>0</v>
      </c>
    </row>
    <row r="572" spans="1:4" hidden="1">
      <c r="A572" s="14" t="s">
        <v>98</v>
      </c>
      <c r="B572" s="14" t="s">
        <v>31</v>
      </c>
      <c r="C572" s="14">
        <v>0</v>
      </c>
      <c r="D572" s="14">
        <v>0</v>
      </c>
    </row>
    <row r="573" spans="1:4" hidden="1">
      <c r="A573" s="14" t="s">
        <v>322</v>
      </c>
      <c r="B573" s="14" t="s">
        <v>259</v>
      </c>
      <c r="C573" s="14">
        <v>0</v>
      </c>
      <c r="D573" s="14">
        <v>0</v>
      </c>
    </row>
    <row r="574" spans="1:4" hidden="1">
      <c r="A574" s="14" t="s">
        <v>492</v>
      </c>
      <c r="B574" s="14" t="s">
        <v>259</v>
      </c>
      <c r="C574" s="14">
        <v>0</v>
      </c>
      <c r="D574" s="14">
        <v>0</v>
      </c>
    </row>
    <row r="575" spans="1:4" hidden="1">
      <c r="A575" s="14" t="s">
        <v>264</v>
      </c>
      <c r="B575" s="14" t="s">
        <v>259</v>
      </c>
      <c r="C575" s="14">
        <v>0</v>
      </c>
      <c r="D575" s="14">
        <v>0</v>
      </c>
    </row>
    <row r="576" spans="1:4" hidden="1">
      <c r="A576" s="14" t="s">
        <v>323</v>
      </c>
      <c r="B576" s="14" t="s">
        <v>259</v>
      </c>
      <c r="C576" s="14">
        <v>0</v>
      </c>
      <c r="D576" s="14">
        <v>0</v>
      </c>
    </row>
    <row r="577" spans="1:4" hidden="1">
      <c r="A577" s="14" t="s">
        <v>278</v>
      </c>
      <c r="B577" s="14" t="s">
        <v>259</v>
      </c>
      <c r="C577" s="14">
        <v>0</v>
      </c>
      <c r="D577" s="14">
        <v>0</v>
      </c>
    </row>
    <row r="578" spans="1:4" hidden="1">
      <c r="A578" s="14" t="s">
        <v>619</v>
      </c>
      <c r="B578" s="14" t="s">
        <v>31</v>
      </c>
      <c r="C578" s="14">
        <v>0</v>
      </c>
      <c r="D578" s="14">
        <v>0</v>
      </c>
    </row>
    <row r="579" spans="1:4" hidden="1">
      <c r="A579" s="14" t="s">
        <v>273</v>
      </c>
      <c r="B579" s="14" t="s">
        <v>259</v>
      </c>
      <c r="C579" s="14">
        <v>0</v>
      </c>
      <c r="D579" s="14">
        <v>0</v>
      </c>
    </row>
    <row r="580" spans="1:4" hidden="1">
      <c r="A580" s="14" t="s">
        <v>99</v>
      </c>
      <c r="B580" s="14" t="s">
        <v>31</v>
      </c>
      <c r="C580" s="14">
        <v>0</v>
      </c>
      <c r="D580" s="14">
        <v>0</v>
      </c>
    </row>
  </sheetData>
  <autoFilter ref="A1:E580">
    <filterColumn colId="1">
      <filters>
        <filter val="双生何梦"/>
      </filters>
    </filterColumn>
  </autoFilter>
  <pageMargins left="0.7" right="0.7" top="0.75" bottom="0.75" header="0.3" footer="0.3"/>
  <pageSetup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102"/>
  <sheetViews>
    <sheetView workbookViewId="0">
      <selection activeCell="P13" sqref="P13"/>
    </sheetView>
  </sheetViews>
  <sheetFormatPr defaultRowHeight="15"/>
  <cols>
    <col min="1" max="1" width="16.140625" bestFit="1" customWidth="1"/>
    <col min="3" max="3" width="16.140625" bestFit="1" customWidth="1"/>
    <col min="5" max="5" width="16.140625" bestFit="1" customWidth="1"/>
    <col min="7" max="7" width="16.140625" bestFit="1" customWidth="1"/>
    <col min="9" max="9" width="16.140625" bestFit="1" customWidth="1"/>
    <col min="11" max="11" width="16.7109375" bestFit="1" customWidth="1"/>
    <col min="13" max="13" width="16.140625" bestFit="1" customWidth="1"/>
  </cols>
  <sheetData>
    <row r="1" spans="1:14" ht="15.75">
      <c r="A1" s="18" t="s">
        <v>13</v>
      </c>
      <c r="B1" s="23"/>
      <c r="C1" s="18" t="s">
        <v>14</v>
      </c>
      <c r="E1" s="18" t="s">
        <v>15</v>
      </c>
      <c r="G1" s="18" t="s">
        <v>16</v>
      </c>
      <c r="H1" s="23"/>
      <c r="I1" s="18" t="s">
        <v>17</v>
      </c>
      <c r="K1" s="18" t="s">
        <v>24</v>
      </c>
      <c r="M1" s="16" t="s">
        <v>25</v>
      </c>
      <c r="N1" s="23"/>
    </row>
    <row r="2" spans="1:14">
      <c r="A2" s="25" t="s">
        <v>535</v>
      </c>
      <c r="C2" s="25" t="s">
        <v>163</v>
      </c>
      <c r="E2" s="5"/>
      <c r="G2" s="25"/>
      <c r="I2" s="25"/>
      <c r="K2" t="s">
        <v>48</v>
      </c>
      <c r="M2" s="25" t="s">
        <v>355</v>
      </c>
    </row>
    <row r="3" spans="1:14">
      <c r="A3" s="25" t="s">
        <v>43</v>
      </c>
      <c r="C3" s="25" t="s">
        <v>51</v>
      </c>
      <c r="E3" s="25"/>
      <c r="G3" s="25"/>
      <c r="I3" s="5"/>
      <c r="K3" t="s">
        <v>163</v>
      </c>
      <c r="M3" s="25" t="s">
        <v>362</v>
      </c>
    </row>
    <row r="4" spans="1:14">
      <c r="A4" s="25" t="s">
        <v>34</v>
      </c>
      <c r="C4" s="25" t="s">
        <v>159</v>
      </c>
      <c r="E4" s="5"/>
      <c r="G4" s="25"/>
      <c r="I4" s="25"/>
      <c r="K4" t="s">
        <v>51</v>
      </c>
      <c r="M4" s="25" t="s">
        <v>420</v>
      </c>
    </row>
    <row r="5" spans="1:14">
      <c r="A5" s="25" t="s">
        <v>46</v>
      </c>
      <c r="C5" s="25" t="s">
        <v>351</v>
      </c>
      <c r="E5" s="5"/>
      <c r="G5" s="25"/>
      <c r="I5" s="25"/>
      <c r="K5" t="s">
        <v>483</v>
      </c>
      <c r="M5" s="25" t="s">
        <v>445</v>
      </c>
    </row>
    <row r="6" spans="1:14">
      <c r="A6" s="25" t="s">
        <v>19</v>
      </c>
      <c r="C6" s="25" t="s">
        <v>561</v>
      </c>
      <c r="E6" s="5"/>
      <c r="G6" s="25"/>
      <c r="I6" s="25"/>
      <c r="K6" t="s">
        <v>352</v>
      </c>
      <c r="M6" s="25" t="s">
        <v>440</v>
      </c>
    </row>
    <row r="7" spans="1:14">
      <c r="A7" s="25" t="s">
        <v>35</v>
      </c>
      <c r="C7" s="25" t="s">
        <v>355</v>
      </c>
      <c r="E7" s="5"/>
      <c r="G7" s="25"/>
      <c r="I7" s="25"/>
      <c r="K7" t="s">
        <v>351</v>
      </c>
      <c r="M7" s="25" t="s">
        <v>358</v>
      </c>
    </row>
    <row r="8" spans="1:14">
      <c r="A8" s="25" t="s">
        <v>39</v>
      </c>
      <c r="C8" s="25" t="s">
        <v>359</v>
      </c>
      <c r="E8" s="25"/>
      <c r="G8" s="25"/>
      <c r="I8" s="25"/>
      <c r="K8" t="s">
        <v>447</v>
      </c>
      <c r="M8" s="25" t="s">
        <v>446</v>
      </c>
    </row>
    <row r="9" spans="1:14">
      <c r="A9" s="25" t="s">
        <v>537</v>
      </c>
      <c r="C9" s="25" t="s">
        <v>388</v>
      </c>
      <c r="E9" s="25"/>
      <c r="G9" s="25"/>
      <c r="I9" s="25"/>
      <c r="K9" t="s">
        <v>355</v>
      </c>
      <c r="M9" s="25" t="s">
        <v>349</v>
      </c>
    </row>
    <row r="10" spans="1:14">
      <c r="A10" s="25" t="s">
        <v>45</v>
      </c>
      <c r="C10" s="25" t="s">
        <v>442</v>
      </c>
      <c r="E10" s="5"/>
      <c r="G10" s="25"/>
      <c r="I10" s="25"/>
      <c r="K10" t="s">
        <v>388</v>
      </c>
      <c r="M10" s="25" t="s">
        <v>350</v>
      </c>
    </row>
    <row r="11" spans="1:14">
      <c r="A11" s="25" t="s">
        <v>598</v>
      </c>
      <c r="C11" s="25" t="s">
        <v>441</v>
      </c>
      <c r="E11" s="5"/>
      <c r="G11" s="25"/>
      <c r="I11" s="25"/>
      <c r="K11" t="s">
        <v>442</v>
      </c>
      <c r="M11" s="25" t="s">
        <v>425</v>
      </c>
    </row>
    <row r="12" spans="1:14">
      <c r="A12" s="25" t="s">
        <v>33</v>
      </c>
      <c r="C12" s="25" t="s">
        <v>353</v>
      </c>
      <c r="E12" s="25"/>
      <c r="G12" s="25"/>
      <c r="I12" s="5"/>
      <c r="K12" t="s">
        <v>441</v>
      </c>
      <c r="M12" s="25" t="s">
        <v>343</v>
      </c>
    </row>
    <row r="13" spans="1:14">
      <c r="A13" s="25" t="s">
        <v>534</v>
      </c>
      <c r="C13" s="25" t="s">
        <v>20</v>
      </c>
      <c r="E13" s="5"/>
      <c r="G13" s="25"/>
      <c r="I13" s="25"/>
      <c r="K13" t="s">
        <v>561</v>
      </c>
      <c r="M13" s="25" t="s">
        <v>520</v>
      </c>
    </row>
    <row r="14" spans="1:14">
      <c r="A14" s="25" t="s">
        <v>32</v>
      </c>
      <c r="C14" s="25" t="s">
        <v>346</v>
      </c>
      <c r="E14" s="5"/>
      <c r="G14" s="25"/>
      <c r="I14" s="25"/>
      <c r="K14" t="s">
        <v>353</v>
      </c>
      <c r="M14" s="25" t="s">
        <v>295</v>
      </c>
    </row>
    <row r="15" spans="1:14">
      <c r="A15" s="25" t="s">
        <v>36</v>
      </c>
      <c r="C15" s="25" t="s">
        <v>367</v>
      </c>
      <c r="E15" s="5"/>
      <c r="G15" s="25"/>
      <c r="I15" s="25"/>
      <c r="K15" t="s">
        <v>362</v>
      </c>
      <c r="M15" s="25" t="s">
        <v>265</v>
      </c>
    </row>
    <row r="16" spans="1:14">
      <c r="A16" s="25" t="s">
        <v>41</v>
      </c>
      <c r="C16" s="25" t="s">
        <v>345</v>
      </c>
      <c r="E16" s="5"/>
      <c r="G16" s="25"/>
      <c r="I16" s="25"/>
      <c r="K16" t="s">
        <v>346</v>
      </c>
      <c r="M16" s="25" t="s">
        <v>517</v>
      </c>
    </row>
    <row r="17" spans="1:13">
      <c r="A17" s="25" t="s">
        <v>42</v>
      </c>
      <c r="C17" s="25" t="s">
        <v>440</v>
      </c>
      <c r="E17" s="5"/>
      <c r="G17" s="25"/>
      <c r="I17" s="25"/>
      <c r="K17" t="s">
        <v>420</v>
      </c>
      <c r="M17" s="25" t="s">
        <v>513</v>
      </c>
    </row>
    <row r="18" spans="1:13">
      <c r="A18" s="25" t="s">
        <v>154</v>
      </c>
      <c r="C18" s="25" t="s">
        <v>358</v>
      </c>
      <c r="E18" s="5"/>
      <c r="G18" s="25"/>
      <c r="I18" s="25"/>
      <c r="K18" t="s">
        <v>445</v>
      </c>
      <c r="M18" s="25" t="s">
        <v>276</v>
      </c>
    </row>
    <row r="19" spans="1:13">
      <c r="A19" s="25" t="s">
        <v>484</v>
      </c>
      <c r="C19" s="25" t="s">
        <v>349</v>
      </c>
      <c r="E19" s="5"/>
      <c r="G19" s="25"/>
      <c r="I19" s="25"/>
      <c r="K19" t="s">
        <v>345</v>
      </c>
      <c r="M19" s="25" t="s">
        <v>163</v>
      </c>
    </row>
    <row r="20" spans="1:13">
      <c r="A20" s="25" t="s">
        <v>489</v>
      </c>
      <c r="C20" s="25" t="s">
        <v>350</v>
      </c>
      <c r="E20" s="5"/>
      <c r="G20" s="25"/>
      <c r="I20" s="25"/>
      <c r="K20" t="s">
        <v>347</v>
      </c>
      <c r="M20" s="25" t="s">
        <v>263</v>
      </c>
    </row>
    <row r="21" spans="1:13">
      <c r="A21" s="25" t="s">
        <v>56</v>
      </c>
      <c r="C21" s="25" t="s">
        <v>295</v>
      </c>
      <c r="E21" s="5"/>
      <c r="G21" s="25"/>
      <c r="I21" s="25"/>
      <c r="K21" t="s">
        <v>440</v>
      </c>
      <c r="M21" s="25" t="s">
        <v>549</v>
      </c>
    </row>
    <row r="22" spans="1:13">
      <c r="A22" s="25" t="s">
        <v>520</v>
      </c>
      <c r="C22" s="25" t="s">
        <v>326</v>
      </c>
      <c r="E22" s="5"/>
      <c r="G22" s="25"/>
      <c r="I22" s="25"/>
      <c r="K22" t="s">
        <v>358</v>
      </c>
      <c r="M22" s="25" t="s">
        <v>232</v>
      </c>
    </row>
    <row r="23" spans="1:13">
      <c r="A23" s="25" t="s">
        <v>326</v>
      </c>
      <c r="C23" s="25" t="s">
        <v>270</v>
      </c>
      <c r="E23" s="5"/>
      <c r="G23" s="25"/>
      <c r="I23" s="25"/>
      <c r="K23" t="s">
        <v>446</v>
      </c>
      <c r="M23" s="25" t="s">
        <v>141</v>
      </c>
    </row>
    <row r="24" spans="1:13">
      <c r="A24" s="25" t="s">
        <v>265</v>
      </c>
      <c r="C24" s="25" t="s">
        <v>548</v>
      </c>
      <c r="E24" s="5"/>
      <c r="G24" s="25"/>
      <c r="I24" s="25"/>
      <c r="K24" t="s">
        <v>349</v>
      </c>
      <c r="M24" s="25" t="s">
        <v>166</v>
      </c>
    </row>
    <row r="25" spans="1:13">
      <c r="A25" s="25" t="s">
        <v>258</v>
      </c>
      <c r="C25" s="25" t="s">
        <v>265</v>
      </c>
      <c r="E25" s="5"/>
      <c r="G25" s="25"/>
      <c r="I25" s="25"/>
      <c r="K25" t="s">
        <v>350</v>
      </c>
      <c r="M25" s="25" t="s">
        <v>139</v>
      </c>
    </row>
    <row r="26" spans="1:13">
      <c r="A26" s="25" t="s">
        <v>262</v>
      </c>
      <c r="C26" s="25" t="s">
        <v>258</v>
      </c>
      <c r="E26" s="5"/>
      <c r="G26" s="25"/>
      <c r="I26" s="25"/>
      <c r="K26" t="s">
        <v>363</v>
      </c>
      <c r="M26" s="25" t="s">
        <v>167</v>
      </c>
    </row>
    <row r="27" spans="1:13">
      <c r="A27" s="25" t="s">
        <v>517</v>
      </c>
      <c r="C27" s="25" t="s">
        <v>262</v>
      </c>
      <c r="E27" s="5"/>
      <c r="G27" s="25"/>
      <c r="I27" s="25"/>
      <c r="K27" t="s">
        <v>343</v>
      </c>
      <c r="M27" s="25" t="s">
        <v>140</v>
      </c>
    </row>
    <row r="28" spans="1:13">
      <c r="A28" s="25" t="s">
        <v>260</v>
      </c>
      <c r="C28" s="25" t="s">
        <v>260</v>
      </c>
      <c r="E28" s="25"/>
      <c r="G28" s="25"/>
      <c r="I28" s="25"/>
      <c r="K28" t="s">
        <v>443</v>
      </c>
      <c r="M28" s="25" t="s">
        <v>170</v>
      </c>
    </row>
    <row r="29" spans="1:13">
      <c r="A29" s="25" t="s">
        <v>18</v>
      </c>
      <c r="C29" s="25" t="s">
        <v>18</v>
      </c>
      <c r="E29" s="5"/>
      <c r="G29" s="25"/>
      <c r="I29" s="25"/>
      <c r="K29" t="s">
        <v>520</v>
      </c>
      <c r="M29" s="25" t="s">
        <v>144</v>
      </c>
    </row>
    <row r="30" spans="1:13">
      <c r="A30" s="25" t="s">
        <v>267</v>
      </c>
      <c r="C30" s="25" t="s">
        <v>276</v>
      </c>
      <c r="E30" s="5"/>
      <c r="G30" s="25"/>
      <c r="I30" s="25"/>
      <c r="K30" t="s">
        <v>295</v>
      </c>
      <c r="M30" s="25" t="s">
        <v>156</v>
      </c>
    </row>
    <row r="31" spans="1:13">
      <c r="A31" s="25" t="s">
        <v>313</v>
      </c>
      <c r="C31" s="25" t="s">
        <v>559</v>
      </c>
      <c r="E31" s="5"/>
      <c r="G31" s="25"/>
      <c r="I31" s="25"/>
      <c r="K31" t="s">
        <v>326</v>
      </c>
      <c r="M31" s="25" t="s">
        <v>154</v>
      </c>
    </row>
    <row r="32" spans="1:13">
      <c r="A32" s="25" t="s">
        <v>263</v>
      </c>
      <c r="C32" s="25" t="s">
        <v>552</v>
      </c>
      <c r="E32" s="5"/>
      <c r="G32" s="25"/>
      <c r="I32" s="25"/>
      <c r="K32" t="s">
        <v>270</v>
      </c>
      <c r="M32" s="25" t="s">
        <v>150</v>
      </c>
    </row>
    <row r="33" spans="1:13">
      <c r="A33" s="25" t="s">
        <v>261</v>
      </c>
      <c r="C33" s="25" t="s">
        <v>261</v>
      </c>
      <c r="E33" s="5"/>
      <c r="G33" s="25"/>
      <c r="I33" s="25"/>
      <c r="K33" t="s">
        <v>543</v>
      </c>
      <c r="M33" s="25" t="s">
        <v>161</v>
      </c>
    </row>
    <row r="34" spans="1:13">
      <c r="A34" s="25" t="s">
        <v>266</v>
      </c>
      <c r="C34" s="25" t="s">
        <v>266</v>
      </c>
      <c r="E34" s="5"/>
      <c r="G34" s="25"/>
      <c r="I34" s="25"/>
      <c r="K34" t="s">
        <v>258</v>
      </c>
      <c r="M34" s="25" t="s">
        <v>142</v>
      </c>
    </row>
    <row r="35" spans="1:13">
      <c r="A35" s="25" t="s">
        <v>513</v>
      </c>
      <c r="C35" s="25" t="s">
        <v>549</v>
      </c>
      <c r="E35" s="5"/>
      <c r="G35" s="25"/>
      <c r="I35" s="25"/>
      <c r="K35" t="s">
        <v>262</v>
      </c>
      <c r="M35" s="25" t="s">
        <v>142</v>
      </c>
    </row>
    <row r="36" spans="1:13">
      <c r="A36" s="25" t="s">
        <v>516</v>
      </c>
      <c r="C36" s="25" t="s">
        <v>516</v>
      </c>
      <c r="E36" s="5"/>
      <c r="G36" s="25"/>
      <c r="I36" s="25"/>
      <c r="K36" t="s">
        <v>517</v>
      </c>
      <c r="M36" s="25" t="s">
        <v>137</v>
      </c>
    </row>
    <row r="37" spans="1:13">
      <c r="A37" s="25" t="s">
        <v>47</v>
      </c>
      <c r="C37" s="25" t="s">
        <v>496</v>
      </c>
      <c r="E37" s="5"/>
      <c r="G37" s="25"/>
      <c r="I37" s="25"/>
      <c r="K37" t="s">
        <v>260</v>
      </c>
      <c r="M37" s="25" t="s">
        <v>239</v>
      </c>
    </row>
    <row r="38" spans="1:13">
      <c r="A38" s="25" t="s">
        <v>483</v>
      </c>
      <c r="C38" s="25" t="s">
        <v>152</v>
      </c>
      <c r="E38" s="5"/>
      <c r="G38" s="25"/>
      <c r="I38" s="25"/>
      <c r="K38" t="s">
        <v>18</v>
      </c>
      <c r="M38" s="25" t="s">
        <v>43</v>
      </c>
    </row>
    <row r="39" spans="1:13">
      <c r="A39" s="25" t="s">
        <v>163</v>
      </c>
      <c r="C39" s="25" t="s">
        <v>171</v>
      </c>
      <c r="E39" s="25"/>
      <c r="G39" s="25"/>
      <c r="I39" s="25"/>
      <c r="K39" t="s">
        <v>267</v>
      </c>
      <c r="M39" t="s">
        <v>34</v>
      </c>
    </row>
    <row r="40" spans="1:13">
      <c r="A40" s="25" t="e">
        <v>#N/A</v>
      </c>
      <c r="C40" s="25" t="s">
        <v>553</v>
      </c>
      <c r="E40" s="25"/>
      <c r="G40" s="25"/>
      <c r="I40" s="25"/>
      <c r="K40" t="s">
        <v>535</v>
      </c>
      <c r="M40" t="s">
        <v>46</v>
      </c>
    </row>
    <row r="41" spans="1:13">
      <c r="A41" s="25" t="s">
        <v>270</v>
      </c>
      <c r="C41" s="25" t="s">
        <v>169</v>
      </c>
      <c r="E41" s="5"/>
      <c r="G41" s="25"/>
      <c r="I41" s="25"/>
      <c r="K41" t="s">
        <v>514</v>
      </c>
      <c r="M41" t="s">
        <v>39</v>
      </c>
    </row>
    <row r="42" spans="1:13">
      <c r="A42" s="25" t="s">
        <v>276</v>
      </c>
      <c r="C42" s="25" t="s">
        <v>158</v>
      </c>
      <c r="E42" s="5"/>
      <c r="G42" s="25"/>
      <c r="I42" s="25"/>
      <c r="K42" t="s">
        <v>263</v>
      </c>
      <c r="M42" t="s">
        <v>33</v>
      </c>
    </row>
    <row r="43" spans="1:13">
      <c r="A43" s="25" t="s">
        <v>281</v>
      </c>
      <c r="C43" s="25" t="s">
        <v>550</v>
      </c>
      <c r="E43" s="25"/>
      <c r="G43" s="25"/>
      <c r="I43" s="25"/>
      <c r="K43" t="s">
        <v>261</v>
      </c>
      <c r="M43" t="s">
        <v>30</v>
      </c>
    </row>
    <row r="44" spans="1:13">
      <c r="A44" s="25" t="s">
        <v>335</v>
      </c>
      <c r="C44" s="25" t="s">
        <v>179</v>
      </c>
      <c r="E44" s="25"/>
      <c r="G44" s="25"/>
      <c r="I44" s="5"/>
      <c r="K44" t="s">
        <v>266</v>
      </c>
      <c r="M44" t="s">
        <v>534</v>
      </c>
    </row>
    <row r="45" spans="1:13">
      <c r="A45" s="25" t="s">
        <v>281</v>
      </c>
      <c r="C45" s="25" t="s">
        <v>139</v>
      </c>
      <c r="E45" s="5"/>
      <c r="G45" s="25"/>
      <c r="I45" s="25"/>
      <c r="K45" t="s">
        <v>549</v>
      </c>
      <c r="M45" t="s">
        <v>42</v>
      </c>
    </row>
    <row r="46" spans="1:13">
      <c r="A46" s="25" t="s">
        <v>141</v>
      </c>
      <c r="C46" s="25" t="s">
        <v>166</v>
      </c>
      <c r="E46" s="5"/>
      <c r="G46" s="25"/>
      <c r="I46" s="25"/>
      <c r="K46" t="s">
        <v>554</v>
      </c>
      <c r="M46" t="s">
        <v>484</v>
      </c>
    </row>
    <row r="47" spans="1:13">
      <c r="A47" s="25" t="s">
        <v>152</v>
      </c>
      <c r="C47" s="25" t="s">
        <v>139</v>
      </c>
      <c r="E47" s="5"/>
      <c r="G47" s="25"/>
      <c r="I47" s="25"/>
      <c r="K47" t="s">
        <v>513</v>
      </c>
      <c r="M47" t="s">
        <v>56</v>
      </c>
    </row>
    <row r="48" spans="1:13">
      <c r="A48" s="25" t="s">
        <v>185</v>
      </c>
      <c r="C48" s="25" t="s">
        <v>167</v>
      </c>
      <c r="E48" s="5"/>
      <c r="G48" s="25"/>
      <c r="I48" s="25"/>
      <c r="K48" t="s">
        <v>325</v>
      </c>
    </row>
    <row r="49" spans="1:11">
      <c r="A49" s="25" t="s">
        <v>171</v>
      </c>
      <c r="C49" s="25" t="s">
        <v>170</v>
      </c>
      <c r="E49" s="5"/>
      <c r="G49" s="25"/>
      <c r="I49" s="25"/>
      <c r="K49" t="s">
        <v>281</v>
      </c>
    </row>
    <row r="50" spans="1:11">
      <c r="A50" s="25" t="s">
        <v>158</v>
      </c>
      <c r="C50" s="25" t="s">
        <v>146</v>
      </c>
      <c r="E50" s="5"/>
      <c r="G50" s="25"/>
      <c r="I50" s="25"/>
      <c r="K50" t="s">
        <v>496</v>
      </c>
    </row>
    <row r="51" spans="1:11">
      <c r="A51" s="25" t="s">
        <v>166</v>
      </c>
      <c r="C51" s="25" t="s">
        <v>144</v>
      </c>
      <c r="E51" s="5"/>
      <c r="G51" s="25"/>
      <c r="I51" s="25"/>
      <c r="K51" t="s">
        <v>141</v>
      </c>
    </row>
    <row r="52" spans="1:11">
      <c r="A52" s="25" t="s">
        <v>139</v>
      </c>
      <c r="C52" s="25" t="s">
        <v>156</v>
      </c>
      <c r="E52" s="5"/>
      <c r="G52" s="25"/>
      <c r="I52" s="25"/>
      <c r="K52" t="s">
        <v>152</v>
      </c>
    </row>
    <row r="53" spans="1:11">
      <c r="A53" s="25" t="s">
        <v>167</v>
      </c>
      <c r="C53" s="25" t="s">
        <v>157</v>
      </c>
      <c r="E53" s="5"/>
      <c r="G53" s="25"/>
      <c r="I53" s="25"/>
      <c r="K53" t="s">
        <v>169</v>
      </c>
    </row>
    <row r="54" spans="1:11">
      <c r="A54" s="25" t="s">
        <v>170</v>
      </c>
      <c r="C54" s="25" t="s">
        <v>595</v>
      </c>
      <c r="E54" s="5"/>
      <c r="G54" s="25"/>
      <c r="I54" s="25"/>
      <c r="K54" t="s">
        <v>164</v>
      </c>
    </row>
    <row r="55" spans="1:11">
      <c r="A55" s="25" t="s">
        <v>146</v>
      </c>
      <c r="C55" s="25" t="s">
        <v>499</v>
      </c>
      <c r="E55" s="5"/>
      <c r="G55" s="25"/>
      <c r="I55" s="25"/>
      <c r="K55" t="s">
        <v>550</v>
      </c>
    </row>
    <row r="56" spans="1:11">
      <c r="A56" s="25" t="s">
        <v>168</v>
      </c>
      <c r="C56" s="25" t="s">
        <v>150</v>
      </c>
      <c r="E56" s="25"/>
      <c r="G56" s="25"/>
      <c r="I56" s="25"/>
      <c r="K56" t="s">
        <v>243</v>
      </c>
    </row>
    <row r="57" spans="1:11">
      <c r="A57" s="25" t="s">
        <v>157</v>
      </c>
      <c r="C57" s="25" t="s">
        <v>486</v>
      </c>
      <c r="E57" s="5"/>
      <c r="G57" s="25"/>
      <c r="I57" s="25"/>
      <c r="K57" t="s">
        <v>139</v>
      </c>
    </row>
    <row r="58" spans="1:11">
      <c r="A58" s="25" t="s">
        <v>162</v>
      </c>
      <c r="C58" s="25" t="s">
        <v>161</v>
      </c>
      <c r="E58" s="5"/>
      <c r="G58" s="25"/>
      <c r="I58" s="25"/>
      <c r="K58" t="s">
        <v>167</v>
      </c>
    </row>
    <row r="59" spans="1:11">
      <c r="A59" s="25" t="s">
        <v>150</v>
      </c>
      <c r="C59" s="25" t="s">
        <v>161</v>
      </c>
      <c r="E59" s="5"/>
      <c r="G59" s="25"/>
      <c r="I59" s="25"/>
      <c r="K59" t="s">
        <v>170</v>
      </c>
    </row>
    <row r="60" spans="1:11">
      <c r="A60" s="25" t="s">
        <v>486</v>
      </c>
      <c r="C60" s="25" t="s">
        <v>148</v>
      </c>
      <c r="E60" s="5"/>
      <c r="G60" s="25"/>
      <c r="I60" s="25"/>
      <c r="K60" t="s">
        <v>144</v>
      </c>
    </row>
    <row r="61" spans="1:11">
      <c r="A61" s="25" t="s">
        <v>161</v>
      </c>
      <c r="C61" s="25" t="s">
        <v>151</v>
      </c>
      <c r="E61" s="5"/>
      <c r="G61" s="25"/>
      <c r="I61" s="25"/>
      <c r="K61" t="s">
        <v>156</v>
      </c>
    </row>
    <row r="62" spans="1:11">
      <c r="A62" s="25" t="s">
        <v>148</v>
      </c>
      <c r="C62" s="25" t="s">
        <v>193</v>
      </c>
      <c r="E62" s="5"/>
      <c r="G62" s="25"/>
      <c r="I62" s="25"/>
      <c r="K62" t="s">
        <v>571</v>
      </c>
    </row>
    <row r="63" spans="1:11">
      <c r="A63" s="25" t="s">
        <v>151</v>
      </c>
      <c r="C63" t="s">
        <v>142</v>
      </c>
      <c r="E63" s="5"/>
      <c r="G63" s="25"/>
      <c r="I63" s="25"/>
      <c r="K63" t="s">
        <v>157</v>
      </c>
    </row>
    <row r="64" spans="1:11">
      <c r="A64" s="25" t="s">
        <v>142</v>
      </c>
      <c r="C64" t="s">
        <v>137</v>
      </c>
      <c r="E64" s="5"/>
      <c r="G64" s="25"/>
      <c r="I64" s="25"/>
      <c r="K64" t="s">
        <v>162</v>
      </c>
    </row>
    <row r="65" spans="1:11">
      <c r="A65" s="25" t="s">
        <v>142</v>
      </c>
      <c r="C65" t="s">
        <v>43</v>
      </c>
      <c r="E65" s="5"/>
      <c r="G65" s="5"/>
      <c r="I65" s="25"/>
      <c r="K65" t="s">
        <v>154</v>
      </c>
    </row>
    <row r="66" spans="1:11">
      <c r="A66" s="25" t="s">
        <v>44</v>
      </c>
      <c r="C66" t="s">
        <v>34</v>
      </c>
      <c r="E66" s="25"/>
      <c r="G66" s="25"/>
      <c r="I66" s="25"/>
      <c r="K66" t="s">
        <v>595</v>
      </c>
    </row>
    <row r="67" spans="1:11">
      <c r="A67" s="25" t="s">
        <v>269</v>
      </c>
      <c r="C67" t="s">
        <v>35</v>
      </c>
      <c r="E67" s="25"/>
      <c r="G67" s="25"/>
      <c r="I67" s="5"/>
      <c r="K67" t="s">
        <v>150</v>
      </c>
    </row>
    <row r="68" spans="1:11">
      <c r="A68" s="25" t="s">
        <v>511</v>
      </c>
      <c r="C68" t="s">
        <v>39</v>
      </c>
      <c r="E68" s="25"/>
      <c r="G68" s="25"/>
      <c r="I68" s="5"/>
      <c r="K68" t="s">
        <v>218</v>
      </c>
    </row>
    <row r="69" spans="1:11">
      <c r="A69" t="s">
        <v>48</v>
      </c>
      <c r="C69" t="s">
        <v>537</v>
      </c>
      <c r="E69" s="25"/>
      <c r="G69" s="25"/>
      <c r="I69" s="5"/>
      <c r="K69" t="s">
        <v>486</v>
      </c>
    </row>
    <row r="70" spans="1:11">
      <c r="A70" t="s">
        <v>351</v>
      </c>
      <c r="C70" t="s">
        <v>45</v>
      </c>
      <c r="E70" s="25"/>
      <c r="G70" s="25"/>
      <c r="I70" s="5"/>
      <c r="K70" t="s">
        <v>161</v>
      </c>
    </row>
    <row r="71" spans="1:11">
      <c r="A71" t="s">
        <v>561</v>
      </c>
      <c r="C71" t="s">
        <v>38</v>
      </c>
      <c r="E71" s="25"/>
      <c r="G71" s="5"/>
      <c r="I71" s="5"/>
      <c r="K71" t="s">
        <v>177</v>
      </c>
    </row>
    <row r="72" spans="1:11">
      <c r="A72" t="s">
        <v>355</v>
      </c>
      <c r="C72" t="s">
        <v>47</v>
      </c>
      <c r="G72" s="5"/>
      <c r="I72" s="25"/>
      <c r="K72" t="s">
        <v>142</v>
      </c>
    </row>
    <row r="73" spans="1:11">
      <c r="A73" t="s">
        <v>359</v>
      </c>
      <c r="C73" t="s">
        <v>551</v>
      </c>
      <c r="G73" s="5"/>
      <c r="I73" s="25"/>
      <c r="K73" t="s">
        <v>34</v>
      </c>
    </row>
    <row r="74" spans="1:11">
      <c r="A74" t="s">
        <v>442</v>
      </c>
      <c r="C74" t="s">
        <v>534</v>
      </c>
      <c r="G74" s="5"/>
      <c r="I74" s="25"/>
      <c r="K74" t="s">
        <v>46</v>
      </c>
    </row>
    <row r="75" spans="1:11">
      <c r="A75" t="s">
        <v>441</v>
      </c>
      <c r="C75" t="s">
        <v>32</v>
      </c>
      <c r="G75" s="5"/>
      <c r="I75" s="25"/>
      <c r="K75" t="s">
        <v>19</v>
      </c>
    </row>
    <row r="76" spans="1:11">
      <c r="A76" t="s">
        <v>353</v>
      </c>
      <c r="C76" t="s">
        <v>67</v>
      </c>
      <c r="G76" s="5"/>
      <c r="I76" s="25"/>
      <c r="K76" t="s">
        <v>35</v>
      </c>
    </row>
    <row r="77" spans="1:11">
      <c r="A77" t="s">
        <v>362</v>
      </c>
      <c r="C77" t="s">
        <v>70</v>
      </c>
      <c r="G77" s="5"/>
      <c r="I77" s="25"/>
      <c r="K77" t="s">
        <v>39</v>
      </c>
    </row>
    <row r="78" spans="1:11">
      <c r="A78" t="s">
        <v>346</v>
      </c>
      <c r="C78" t="s">
        <v>42</v>
      </c>
      <c r="G78" s="5"/>
      <c r="I78" s="25"/>
      <c r="K78" t="s">
        <v>537</v>
      </c>
    </row>
    <row r="79" spans="1:11">
      <c r="A79" t="s">
        <v>367</v>
      </c>
      <c r="C79" t="s">
        <v>484</v>
      </c>
      <c r="G79" s="5"/>
      <c r="I79" s="25"/>
      <c r="K79" t="s">
        <v>45</v>
      </c>
    </row>
    <row r="80" spans="1:11">
      <c r="A80" t="s">
        <v>445</v>
      </c>
      <c r="C80" t="s">
        <v>543</v>
      </c>
      <c r="G80" s="5"/>
      <c r="I80" s="25"/>
      <c r="K80" t="s">
        <v>38</v>
      </c>
    </row>
    <row r="81" spans="1:11">
      <c r="A81" t="s">
        <v>345</v>
      </c>
      <c r="C81" t="s">
        <v>269</v>
      </c>
      <c r="G81" s="5"/>
      <c r="I81" s="25"/>
      <c r="K81" t="s">
        <v>33</v>
      </c>
    </row>
    <row r="82" spans="1:11">
      <c r="A82" t="s">
        <v>347</v>
      </c>
      <c r="C82" t="s">
        <v>143</v>
      </c>
      <c r="G82" s="5"/>
      <c r="I82" s="25"/>
      <c r="K82" t="s">
        <v>47</v>
      </c>
    </row>
    <row r="83" spans="1:11">
      <c r="A83" t="s">
        <v>440</v>
      </c>
      <c r="C83" t="s">
        <v>302</v>
      </c>
      <c r="G83" s="5"/>
      <c r="K83" t="s">
        <v>30</v>
      </c>
    </row>
    <row r="84" spans="1:11">
      <c r="A84" t="s">
        <v>358</v>
      </c>
      <c r="C84" t="s">
        <v>487</v>
      </c>
      <c r="G84" s="5"/>
      <c r="K84" t="s">
        <v>40</v>
      </c>
    </row>
    <row r="85" spans="1:11">
      <c r="A85" t="s">
        <v>350</v>
      </c>
      <c r="C85" t="s">
        <v>511</v>
      </c>
      <c r="G85" s="5"/>
      <c r="K85" t="s">
        <v>551</v>
      </c>
    </row>
    <row r="86" spans="1:11">
      <c r="A86" t="s">
        <v>430</v>
      </c>
      <c r="C86" t="s">
        <v>352</v>
      </c>
      <c r="G86" s="5"/>
      <c r="K86" t="s">
        <v>534</v>
      </c>
    </row>
    <row r="87" spans="1:11">
      <c r="A87" t="s">
        <v>595</v>
      </c>
      <c r="C87" t="s">
        <v>347</v>
      </c>
      <c r="G87" s="5"/>
      <c r="K87" t="s">
        <v>67</v>
      </c>
    </row>
    <row r="88" spans="1:11">
      <c r="C88" t="s">
        <v>535</v>
      </c>
      <c r="G88" s="5"/>
      <c r="K88" t="s">
        <v>70</v>
      </c>
    </row>
    <row r="89" spans="1:11">
      <c r="C89" t="s">
        <v>36</v>
      </c>
      <c r="G89" s="5"/>
      <c r="K89" t="s">
        <v>42</v>
      </c>
    </row>
    <row r="90" spans="1:11">
      <c r="C90" t="s">
        <v>41</v>
      </c>
      <c r="G90" s="5"/>
      <c r="K90" t="s">
        <v>484</v>
      </c>
    </row>
    <row r="91" spans="1:11">
      <c r="C91" t="s">
        <v>514</v>
      </c>
      <c r="G91" s="5"/>
      <c r="K91" t="s">
        <v>489</v>
      </c>
    </row>
    <row r="92" spans="1:11">
      <c r="C92" t="s">
        <v>489</v>
      </c>
      <c r="G92" s="5"/>
      <c r="K92" t="s">
        <v>56</v>
      </c>
    </row>
    <row r="93" spans="1:11">
      <c r="C93" t="s">
        <v>520</v>
      </c>
      <c r="K93" t="s">
        <v>44</v>
      </c>
    </row>
    <row r="94" spans="1:11">
      <c r="C94" t="s">
        <v>517</v>
      </c>
      <c r="K94" t="s">
        <v>56</v>
      </c>
    </row>
    <row r="95" spans="1:11">
      <c r="C95" t="s">
        <v>267</v>
      </c>
      <c r="K95" t="s">
        <v>269</v>
      </c>
    </row>
    <row r="96" spans="1:11">
      <c r="C96" t="s">
        <v>263</v>
      </c>
      <c r="K96" t="s">
        <v>183</v>
      </c>
    </row>
    <row r="97" spans="3:11">
      <c r="C97" t="s">
        <v>141</v>
      </c>
      <c r="K97" t="s">
        <v>487</v>
      </c>
    </row>
    <row r="98" spans="3:11">
      <c r="C98" t="s">
        <v>571</v>
      </c>
      <c r="K98" t="s">
        <v>511</v>
      </c>
    </row>
    <row r="99" spans="3:11">
      <c r="C99" t="s">
        <v>142</v>
      </c>
    </row>
    <row r="100" spans="3:11">
      <c r="C100" t="s">
        <v>46</v>
      </c>
    </row>
    <row r="101" spans="3:11">
      <c r="C101" t="s">
        <v>33</v>
      </c>
    </row>
    <row r="102" spans="3:11">
      <c r="C102" t="s">
        <v>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17"/>
  <sheetViews>
    <sheetView workbookViewId="0">
      <selection activeCell="I6" sqref="I6"/>
    </sheetView>
  </sheetViews>
  <sheetFormatPr defaultRowHeight="15"/>
  <cols>
    <col min="1" max="1" width="16.7109375" bestFit="1" customWidth="1"/>
    <col min="3" max="3" width="16.140625" bestFit="1" customWidth="1"/>
  </cols>
  <sheetData>
    <row r="1" spans="1:3">
      <c r="A1" t="s">
        <v>161</v>
      </c>
      <c r="C1" t="s">
        <v>161</v>
      </c>
    </row>
    <row r="2" spans="1:3">
      <c r="A2" t="s">
        <v>153</v>
      </c>
      <c r="C2" t="s">
        <v>43</v>
      </c>
    </row>
    <row r="3" spans="1:3">
      <c r="A3" t="s">
        <v>56</v>
      </c>
      <c r="C3" t="s">
        <v>56</v>
      </c>
    </row>
    <row r="4" spans="1:3">
      <c r="A4" t="s">
        <v>514</v>
      </c>
      <c r="C4" t="s">
        <v>154</v>
      </c>
    </row>
    <row r="5" spans="1:3">
      <c r="A5" t="s">
        <v>43</v>
      </c>
      <c r="C5" t="s">
        <v>171</v>
      </c>
    </row>
    <row r="6" spans="1:3">
      <c r="A6" t="s">
        <v>154</v>
      </c>
      <c r="C6" t="s">
        <v>153</v>
      </c>
    </row>
    <row r="7" spans="1:3">
      <c r="A7" t="s">
        <v>535</v>
      </c>
      <c r="C7" t="s">
        <v>551</v>
      </c>
    </row>
    <row r="8" spans="1:3">
      <c r="A8" t="s">
        <v>167</v>
      </c>
      <c r="C8" t="s">
        <v>514</v>
      </c>
    </row>
    <row r="9" spans="1:3">
      <c r="A9" t="s">
        <v>517</v>
      </c>
      <c r="C9" t="s">
        <v>263</v>
      </c>
    </row>
    <row r="10" spans="1:3">
      <c r="A10" t="s">
        <v>263</v>
      </c>
      <c r="C10" t="s">
        <v>173</v>
      </c>
    </row>
    <row r="11" spans="1:3">
      <c r="A11" t="s">
        <v>354</v>
      </c>
      <c r="C11" t="s">
        <v>517</v>
      </c>
    </row>
    <row r="12" spans="1:3">
      <c r="A12" t="s">
        <v>171</v>
      </c>
      <c r="C12" t="s">
        <v>271</v>
      </c>
    </row>
    <row r="13" spans="1:3">
      <c r="A13" t="s">
        <v>48</v>
      </c>
      <c r="C13" t="s">
        <v>483</v>
      </c>
    </row>
    <row r="14" spans="1:3">
      <c r="A14" t="s">
        <v>164</v>
      </c>
      <c r="C14" t="s">
        <v>359</v>
      </c>
    </row>
    <row r="15" spans="1:3">
      <c r="A15" t="s">
        <v>489</v>
      </c>
      <c r="C15" t="s">
        <v>46</v>
      </c>
    </row>
    <row r="16" spans="1:3">
      <c r="A16" t="s">
        <v>139</v>
      </c>
      <c r="C16" t="s">
        <v>535</v>
      </c>
    </row>
    <row r="17" spans="1:3">
      <c r="A17" t="s">
        <v>262</v>
      </c>
      <c r="C17" t="s">
        <v>358</v>
      </c>
    </row>
    <row r="18" spans="1:3">
      <c r="A18" t="s">
        <v>170</v>
      </c>
      <c r="C18" t="s">
        <v>157</v>
      </c>
    </row>
    <row r="19" spans="1:3">
      <c r="A19" t="s">
        <v>173</v>
      </c>
      <c r="C19" t="s">
        <v>262</v>
      </c>
    </row>
    <row r="20" spans="1:3">
      <c r="A20" t="s">
        <v>33</v>
      </c>
      <c r="C20" t="s">
        <v>486</v>
      </c>
    </row>
    <row r="21" spans="1:3">
      <c r="A21" t="s">
        <v>18</v>
      </c>
      <c r="C21" t="s">
        <v>18</v>
      </c>
    </row>
    <row r="22" spans="1:3">
      <c r="A22" t="s">
        <v>38</v>
      </c>
      <c r="C22" t="s">
        <v>139</v>
      </c>
    </row>
    <row r="23" spans="1:3">
      <c r="A23" t="s">
        <v>36</v>
      </c>
      <c r="C23" t="s">
        <v>520</v>
      </c>
    </row>
    <row r="24" spans="1:3">
      <c r="A24" t="s">
        <v>358</v>
      </c>
      <c r="C24" t="s">
        <v>163</v>
      </c>
    </row>
    <row r="25" spans="1:3">
      <c r="A25" t="s">
        <v>520</v>
      </c>
      <c r="C25" t="s">
        <v>170</v>
      </c>
    </row>
    <row r="26" spans="1:3">
      <c r="A26" t="s">
        <v>355</v>
      </c>
      <c r="C26" t="s">
        <v>548</v>
      </c>
    </row>
    <row r="27" spans="1:3">
      <c r="A27" t="s">
        <v>142</v>
      </c>
      <c r="C27" t="s">
        <v>179</v>
      </c>
    </row>
    <row r="28" spans="1:3">
      <c r="A28" t="s">
        <v>149</v>
      </c>
      <c r="C28" t="s">
        <v>38</v>
      </c>
    </row>
    <row r="29" spans="1:3">
      <c r="A29" t="s">
        <v>486</v>
      </c>
      <c r="C29" t="s">
        <v>347</v>
      </c>
    </row>
    <row r="30" spans="1:3">
      <c r="A30" t="s">
        <v>155</v>
      </c>
      <c r="C30" t="s">
        <v>193</v>
      </c>
    </row>
    <row r="31" spans="1:3">
      <c r="A31" t="s">
        <v>519</v>
      </c>
      <c r="C31" t="s">
        <v>549</v>
      </c>
    </row>
    <row r="32" spans="1:3">
      <c r="A32" t="s">
        <v>445</v>
      </c>
      <c r="C32" t="s">
        <v>265</v>
      </c>
    </row>
    <row r="33" spans="1:3">
      <c r="A33" t="s">
        <v>152</v>
      </c>
      <c r="C33" t="s">
        <v>41</v>
      </c>
    </row>
    <row r="34" spans="1:3">
      <c r="A34" t="s">
        <v>483</v>
      </c>
      <c r="C34" t="s">
        <v>34</v>
      </c>
    </row>
    <row r="35" spans="1:3">
      <c r="A35" t="s">
        <v>166</v>
      </c>
      <c r="C35" t="s">
        <v>158</v>
      </c>
    </row>
    <row r="36" spans="1:3">
      <c r="A36" t="s">
        <v>359</v>
      </c>
      <c r="C36" t="s">
        <v>354</v>
      </c>
    </row>
    <row r="37" spans="1:3">
      <c r="A37" t="s">
        <v>513</v>
      </c>
      <c r="C37" t="s">
        <v>267</v>
      </c>
    </row>
    <row r="38" spans="1:3">
      <c r="A38" t="s">
        <v>46</v>
      </c>
      <c r="C38" t="s">
        <v>51</v>
      </c>
    </row>
    <row r="39" spans="1:3">
      <c r="A39" t="s">
        <v>141</v>
      </c>
      <c r="C39" t="s">
        <v>258</v>
      </c>
    </row>
    <row r="40" spans="1:3">
      <c r="A40" t="s">
        <v>347</v>
      </c>
      <c r="C40" t="s">
        <v>353</v>
      </c>
    </row>
    <row r="41" spans="1:3">
      <c r="A41" t="s">
        <v>45</v>
      </c>
      <c r="C41" t="s">
        <v>169</v>
      </c>
    </row>
    <row r="42" spans="1:3">
      <c r="A42" t="s">
        <v>487</v>
      </c>
      <c r="C42" t="s">
        <v>36</v>
      </c>
    </row>
    <row r="43" spans="1:3">
      <c r="A43" t="s">
        <v>34</v>
      </c>
      <c r="C43" t="s">
        <v>547</v>
      </c>
    </row>
    <row r="44" spans="1:3">
      <c r="A44" t="s">
        <v>41</v>
      </c>
      <c r="C44" t="s">
        <v>33</v>
      </c>
    </row>
    <row r="45" spans="1:3">
      <c r="A45" t="s">
        <v>440</v>
      </c>
      <c r="C45" t="s">
        <v>152</v>
      </c>
    </row>
    <row r="46" spans="1:3">
      <c r="A46" t="s">
        <v>157</v>
      </c>
      <c r="C46" t="s">
        <v>261</v>
      </c>
    </row>
    <row r="47" spans="1:3">
      <c r="A47" t="s">
        <v>158</v>
      </c>
      <c r="C47" t="s">
        <v>137</v>
      </c>
    </row>
    <row r="48" spans="1:3">
      <c r="A48" t="s">
        <v>148</v>
      </c>
      <c r="C48" t="s">
        <v>45</v>
      </c>
    </row>
    <row r="49" spans="1:3">
      <c r="A49" t="s">
        <v>32</v>
      </c>
      <c r="C49" t="s">
        <v>266</v>
      </c>
    </row>
    <row r="50" spans="1:3">
      <c r="A50" t="s">
        <v>150</v>
      </c>
      <c r="C50" t="s">
        <v>144</v>
      </c>
    </row>
    <row r="51" spans="1:3">
      <c r="A51" t="s">
        <v>480</v>
      </c>
      <c r="C51" t="s">
        <v>260</v>
      </c>
    </row>
    <row r="52" spans="1:3">
      <c r="A52" t="s">
        <v>362</v>
      </c>
      <c r="C52" t="s">
        <v>489</v>
      </c>
    </row>
    <row r="53" spans="1:3">
      <c r="A53" t="s">
        <v>174</v>
      </c>
      <c r="C53" t="s">
        <v>350</v>
      </c>
    </row>
    <row r="54" spans="1:3">
      <c r="A54" t="s">
        <v>515</v>
      </c>
      <c r="C54" t="s">
        <v>519</v>
      </c>
    </row>
    <row r="55" spans="1:3">
      <c r="A55" t="s">
        <v>326</v>
      </c>
      <c r="C55" t="s">
        <v>480</v>
      </c>
    </row>
    <row r="56" spans="1:3">
      <c r="A56" t="s">
        <v>484</v>
      </c>
      <c r="C56" t="s">
        <v>32</v>
      </c>
    </row>
    <row r="57" spans="1:3">
      <c r="A57" t="s">
        <v>185</v>
      </c>
      <c r="C57" t="s">
        <v>39</v>
      </c>
    </row>
    <row r="58" spans="1:3">
      <c r="A58" t="s">
        <v>156</v>
      </c>
      <c r="C58" t="s">
        <v>484</v>
      </c>
    </row>
    <row r="59" spans="1:3">
      <c r="A59" t="s">
        <v>163</v>
      </c>
      <c r="C59" t="s">
        <v>148</v>
      </c>
    </row>
    <row r="60" spans="1:3">
      <c r="A60" t="s">
        <v>277</v>
      </c>
      <c r="C60" t="s">
        <v>172</v>
      </c>
    </row>
    <row r="61" spans="1:3">
      <c r="A61" t="s">
        <v>162</v>
      </c>
      <c r="C61" t="s">
        <v>162</v>
      </c>
    </row>
    <row r="62" spans="1:3">
      <c r="A62" t="s">
        <v>35</v>
      </c>
      <c r="C62" t="s">
        <v>151</v>
      </c>
    </row>
    <row r="63" spans="1:3">
      <c r="A63" t="s">
        <v>346</v>
      </c>
      <c r="C63" t="s">
        <v>485</v>
      </c>
    </row>
    <row r="64" spans="1:3">
      <c r="A64" t="s">
        <v>20</v>
      </c>
      <c r="C64" t="s">
        <v>513</v>
      </c>
    </row>
    <row r="65" spans="1:3">
      <c r="A65" t="s">
        <v>169</v>
      </c>
      <c r="C65" t="s">
        <v>295</v>
      </c>
    </row>
    <row r="66" spans="1:3">
      <c r="A66" t="s">
        <v>350</v>
      </c>
      <c r="C66" t="s">
        <v>490</v>
      </c>
    </row>
    <row r="67" spans="1:3">
      <c r="A67" t="s">
        <v>44</v>
      </c>
      <c r="C67" t="s">
        <v>488</v>
      </c>
    </row>
    <row r="68" spans="1:3">
      <c r="A68" t="s">
        <v>367</v>
      </c>
      <c r="C68" t="s">
        <v>150</v>
      </c>
    </row>
    <row r="69" spans="1:3">
      <c r="A69" t="s">
        <v>232</v>
      </c>
      <c r="C69" t="s">
        <v>440</v>
      </c>
    </row>
    <row r="70" spans="1:3">
      <c r="A70" t="s">
        <v>353</v>
      </c>
      <c r="C70" t="s">
        <v>537</v>
      </c>
    </row>
    <row r="71" spans="1:3">
      <c r="A71" t="s">
        <v>265</v>
      </c>
      <c r="C71" t="s">
        <v>355</v>
      </c>
    </row>
    <row r="72" spans="1:3">
      <c r="A72" t="s">
        <v>302</v>
      </c>
      <c r="C72" t="s">
        <v>383</v>
      </c>
    </row>
    <row r="73" spans="1:3">
      <c r="A73" t="s">
        <v>335</v>
      </c>
      <c r="C73" t="s">
        <v>142</v>
      </c>
    </row>
    <row r="74" spans="1:3">
      <c r="A74" t="s">
        <v>168</v>
      </c>
      <c r="C74" t="s">
        <v>534</v>
      </c>
    </row>
    <row r="75" spans="1:3">
      <c r="A75" t="s">
        <v>261</v>
      </c>
      <c r="C75" t="s">
        <v>441</v>
      </c>
    </row>
    <row r="76" spans="1:3">
      <c r="A76" t="s">
        <v>266</v>
      </c>
      <c r="C76" t="s">
        <v>35</v>
      </c>
    </row>
    <row r="77" spans="1:3">
      <c r="A77" t="s">
        <v>485</v>
      </c>
      <c r="C77" t="s">
        <v>346</v>
      </c>
    </row>
    <row r="78" spans="1:3">
      <c r="A78" t="s">
        <v>260</v>
      </c>
      <c r="C78" t="s">
        <v>552</v>
      </c>
    </row>
    <row r="79" spans="1:3">
      <c r="A79" t="s">
        <v>19</v>
      </c>
      <c r="C79" t="s">
        <v>499</v>
      </c>
    </row>
    <row r="80" spans="1:3">
      <c r="A80" t="s">
        <v>267</v>
      </c>
      <c r="C80" t="s">
        <v>326</v>
      </c>
    </row>
    <row r="81" spans="1:3">
      <c r="A81" t="s">
        <v>147</v>
      </c>
      <c r="C81" t="s">
        <v>349</v>
      </c>
    </row>
    <row r="82" spans="1:3">
      <c r="A82" t="s">
        <v>151</v>
      </c>
      <c r="C82" t="s">
        <v>345</v>
      </c>
    </row>
    <row r="83" spans="1:3">
      <c r="A83" t="s">
        <v>550</v>
      </c>
      <c r="C83" t="s">
        <v>180</v>
      </c>
    </row>
    <row r="84" spans="1:3">
      <c r="A84" t="s">
        <v>537</v>
      </c>
      <c r="C84" t="s">
        <v>511</v>
      </c>
    </row>
    <row r="85" spans="1:3">
      <c r="A85" t="s">
        <v>42</v>
      </c>
      <c r="C85" t="s">
        <v>42</v>
      </c>
    </row>
    <row r="86" spans="1:3">
      <c r="A86" t="s">
        <v>441</v>
      </c>
      <c r="C86" t="s">
        <v>174</v>
      </c>
    </row>
    <row r="87" spans="1:3">
      <c r="A87" t="s">
        <v>85</v>
      </c>
      <c r="C87" t="s">
        <v>20</v>
      </c>
    </row>
    <row r="88" spans="1:3">
      <c r="A88" t="s">
        <v>183</v>
      </c>
      <c r="C88" t="s">
        <v>356</v>
      </c>
    </row>
    <row r="89" spans="1:3">
      <c r="A89" t="s">
        <v>146</v>
      </c>
      <c r="C89" t="s">
        <v>550</v>
      </c>
    </row>
    <row r="90" spans="1:3">
      <c r="A90" t="s">
        <v>258</v>
      </c>
      <c r="C90" t="s">
        <v>67</v>
      </c>
    </row>
    <row r="91" spans="1:3">
      <c r="A91" t="s">
        <v>516</v>
      </c>
      <c r="C91" t="s">
        <v>516</v>
      </c>
    </row>
    <row r="92" spans="1:3">
      <c r="A92" t="s">
        <v>356</v>
      </c>
      <c r="C92" t="s">
        <v>143</v>
      </c>
    </row>
    <row r="93" spans="1:3">
      <c r="A93" t="s">
        <v>534</v>
      </c>
      <c r="C93" t="s">
        <v>388</v>
      </c>
    </row>
    <row r="94" spans="1:3">
      <c r="A94" t="s">
        <v>345</v>
      </c>
      <c r="C94" t="s">
        <v>496</v>
      </c>
    </row>
    <row r="95" spans="1:3">
      <c r="A95" t="s">
        <v>442</v>
      </c>
      <c r="C95" t="s">
        <v>521</v>
      </c>
    </row>
    <row r="96" spans="1:3">
      <c r="A96" t="s">
        <v>39</v>
      </c>
      <c r="C96" t="s">
        <v>553</v>
      </c>
    </row>
    <row r="97" spans="1:3">
      <c r="A97" t="s">
        <v>143</v>
      </c>
      <c r="C97" t="s">
        <v>146</v>
      </c>
    </row>
    <row r="98" spans="1:3">
      <c r="A98" t="s">
        <v>511</v>
      </c>
      <c r="C98" t="s">
        <v>351</v>
      </c>
    </row>
    <row r="99" spans="1:3">
      <c r="A99" t="s">
        <v>316</v>
      </c>
      <c r="C99" t="s">
        <v>543</v>
      </c>
    </row>
    <row r="100" spans="1:3">
      <c r="A100" t="s">
        <v>159</v>
      </c>
      <c r="C100" t="s">
        <v>70</v>
      </c>
    </row>
    <row r="101" spans="1:3">
      <c r="A101" t="s">
        <v>521</v>
      </c>
      <c r="C101" t="s">
        <v>554</v>
      </c>
    </row>
    <row r="102" spans="1:3">
      <c r="A102" t="s">
        <v>313</v>
      </c>
      <c r="C102" t="s">
        <v>302</v>
      </c>
    </row>
    <row r="103" spans="1:3">
      <c r="A103" t="s">
        <v>430</v>
      </c>
      <c r="C103" t="s">
        <v>555</v>
      </c>
    </row>
    <row r="104" spans="1:3">
      <c r="A104" t="s">
        <v>518</v>
      </c>
      <c r="C104" t="s">
        <v>442</v>
      </c>
    </row>
    <row r="105" spans="1:3">
      <c r="A105" t="s">
        <v>30</v>
      </c>
      <c r="C105" t="s">
        <v>528</v>
      </c>
    </row>
    <row r="106" spans="1:3">
      <c r="A106" t="s">
        <v>444</v>
      </c>
      <c r="C106" t="s">
        <v>487</v>
      </c>
    </row>
    <row r="107" spans="1:3">
      <c r="A107" t="s">
        <v>351</v>
      </c>
      <c r="C107" t="s">
        <v>270</v>
      </c>
    </row>
    <row r="108" spans="1:3">
      <c r="A108" t="s">
        <v>543</v>
      </c>
      <c r="C108" t="s">
        <v>159</v>
      </c>
    </row>
    <row r="109" spans="1:3">
      <c r="A109" t="s">
        <v>431</v>
      </c>
      <c r="C109" t="s">
        <v>156</v>
      </c>
    </row>
    <row r="110" spans="1:3">
      <c r="A110" t="s">
        <v>74</v>
      </c>
      <c r="C110" t="s">
        <v>141</v>
      </c>
    </row>
    <row r="111" spans="1:3">
      <c r="C111" t="s">
        <v>122</v>
      </c>
    </row>
    <row r="112" spans="1:3">
      <c r="C112" t="s">
        <v>37</v>
      </c>
    </row>
    <row r="113" spans="3:3">
      <c r="C113" t="s">
        <v>50</v>
      </c>
    </row>
    <row r="114" spans="3:3">
      <c r="C114" t="s">
        <v>556</v>
      </c>
    </row>
    <row r="115" spans="3:3">
      <c r="C115" t="s">
        <v>367</v>
      </c>
    </row>
    <row r="116" spans="3:3">
      <c r="C116" t="s">
        <v>167</v>
      </c>
    </row>
    <row r="117" spans="3:3">
      <c r="C117" t="s">
        <v>155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70"/>
  <sheetViews>
    <sheetView workbookViewId="0">
      <selection activeCell="P14" sqref="P14"/>
    </sheetView>
  </sheetViews>
  <sheetFormatPr defaultRowHeight="15"/>
  <cols>
    <col min="1" max="1" width="16.140625" bestFit="1" customWidth="1"/>
    <col min="2" max="2" width="7.7109375" style="13" bestFit="1" customWidth="1"/>
    <col min="3" max="3" width="4.42578125" style="7" bestFit="1" customWidth="1"/>
    <col min="4" max="4" width="4.28515625" style="7" bestFit="1" customWidth="1"/>
    <col min="5" max="5" width="9.140625" style="13"/>
    <col min="6" max="6" width="16.5703125" bestFit="1" customWidth="1"/>
    <col min="7" max="7" width="7.7109375" style="13" bestFit="1" customWidth="1"/>
    <col min="8" max="8" width="4.42578125" style="7" bestFit="1" customWidth="1"/>
    <col min="9" max="9" width="4.28515625" style="7" bestFit="1" customWidth="1"/>
    <col min="10" max="10" width="9.140625" style="13"/>
    <col min="11" max="11" width="16.140625" bestFit="1" customWidth="1"/>
    <col min="12" max="12" width="7.7109375" style="13" bestFit="1" customWidth="1"/>
    <col min="13" max="13" width="4.42578125" style="7" bestFit="1" customWidth="1"/>
    <col min="14" max="14" width="4.28515625" style="7" bestFit="1" customWidth="1"/>
    <col min="15" max="15" width="9.140625" style="13"/>
    <col min="16" max="16" width="14.85546875" bestFit="1" customWidth="1"/>
    <col min="17" max="17" width="7.7109375" style="13" bestFit="1" customWidth="1"/>
    <col min="18" max="18" width="4.42578125" style="7" bestFit="1" customWidth="1"/>
    <col min="19" max="19" width="4.28515625" style="7" bestFit="1" customWidth="1"/>
    <col min="21" max="21" width="16.5703125" bestFit="1" customWidth="1"/>
  </cols>
  <sheetData>
    <row r="1" spans="1:21">
      <c r="A1" s="27" t="s">
        <v>1</v>
      </c>
      <c r="B1" s="27"/>
      <c r="C1" s="27"/>
      <c r="D1" s="27"/>
      <c r="F1" s="27" t="s">
        <v>2</v>
      </c>
      <c r="G1" s="27"/>
      <c r="H1" s="27"/>
      <c r="I1" s="27"/>
      <c r="K1" s="27" t="s">
        <v>3</v>
      </c>
      <c r="L1" s="27"/>
      <c r="M1" s="27"/>
      <c r="N1" s="27"/>
      <c r="P1" s="27" t="s">
        <v>4</v>
      </c>
      <c r="Q1" s="27"/>
      <c r="R1" s="27"/>
      <c r="S1" s="27"/>
    </row>
    <row r="2" spans="1:21">
      <c r="A2" s="17" t="s">
        <v>0</v>
      </c>
      <c r="B2" s="17" t="s">
        <v>21</v>
      </c>
      <c r="C2" s="17" t="s">
        <v>7</v>
      </c>
      <c r="D2" s="17" t="s">
        <v>8</v>
      </c>
      <c r="F2" s="17" t="s">
        <v>0</v>
      </c>
      <c r="G2" s="17" t="s">
        <v>21</v>
      </c>
      <c r="H2" s="17" t="s">
        <v>7</v>
      </c>
      <c r="I2" s="17" t="s">
        <v>8</v>
      </c>
      <c r="K2" s="17" t="s">
        <v>0</v>
      </c>
      <c r="L2" s="17" t="s">
        <v>21</v>
      </c>
      <c r="M2" s="17" t="s">
        <v>7</v>
      </c>
      <c r="N2" s="17" t="s">
        <v>8</v>
      </c>
      <c r="P2" s="17" t="s">
        <v>0</v>
      </c>
      <c r="Q2" s="17" t="s">
        <v>21</v>
      </c>
      <c r="R2" s="17" t="s">
        <v>7</v>
      </c>
      <c r="S2" s="17" t="s">
        <v>8</v>
      </c>
      <c r="U2" s="13"/>
    </row>
    <row r="3" spans="1:21">
      <c r="A3" s="14"/>
      <c r="B3" s="14"/>
      <c r="C3" s="14"/>
      <c r="D3" s="14"/>
      <c r="E3" s="14"/>
      <c r="F3" s="14"/>
      <c r="H3" s="26"/>
      <c r="I3" s="26"/>
      <c r="J3" s="14"/>
      <c r="K3" s="14"/>
      <c r="M3" s="26"/>
      <c r="N3" s="26"/>
      <c r="O3" s="14"/>
      <c r="P3" s="14"/>
      <c r="R3" s="26"/>
      <c r="S3" s="26"/>
      <c r="U3" s="13"/>
    </row>
    <row r="4" spans="1:21">
      <c r="A4" s="14"/>
      <c r="B4" s="14"/>
      <c r="C4" s="14"/>
      <c r="D4" s="14"/>
      <c r="E4" s="14"/>
      <c r="F4" s="14"/>
      <c r="H4" s="26"/>
      <c r="I4" s="26"/>
      <c r="J4" s="14"/>
      <c r="K4" s="14"/>
      <c r="M4" s="26"/>
      <c r="N4" s="26"/>
      <c r="O4" s="14"/>
      <c r="P4" s="14"/>
      <c r="R4" s="26"/>
      <c r="S4" s="26"/>
      <c r="U4" s="13"/>
    </row>
    <row r="5" spans="1:21">
      <c r="A5" s="14"/>
      <c r="B5" s="14"/>
      <c r="C5" s="14"/>
      <c r="D5" s="14"/>
      <c r="E5" s="14"/>
      <c r="F5" s="14"/>
      <c r="H5" s="26"/>
      <c r="I5" s="26"/>
      <c r="J5" s="14"/>
      <c r="K5" s="14"/>
      <c r="M5" s="26"/>
      <c r="N5" s="26"/>
      <c r="O5" s="14"/>
      <c r="P5" s="14"/>
      <c r="R5" s="26"/>
      <c r="S5" s="26"/>
      <c r="U5" s="13"/>
    </row>
    <row r="6" spans="1:21">
      <c r="A6" s="14"/>
      <c r="B6" s="14"/>
      <c r="C6" s="14"/>
      <c r="D6" s="14"/>
      <c r="E6" s="14"/>
      <c r="F6" s="14"/>
      <c r="H6" s="26"/>
      <c r="I6" s="26"/>
      <c r="J6" s="14"/>
      <c r="K6" s="14"/>
      <c r="M6" s="26"/>
      <c r="N6" s="26"/>
      <c r="O6" s="14"/>
      <c r="P6" s="14"/>
      <c r="R6" s="26"/>
      <c r="S6" s="26"/>
      <c r="U6" s="13"/>
    </row>
    <row r="7" spans="1:21">
      <c r="A7" s="14"/>
      <c r="B7" s="14"/>
      <c r="C7" s="14"/>
      <c r="D7" s="14"/>
      <c r="E7" s="14"/>
      <c r="F7" s="14"/>
      <c r="H7" s="26"/>
      <c r="I7" s="26"/>
      <c r="J7" s="14"/>
      <c r="K7" s="14"/>
      <c r="M7" s="26"/>
      <c r="N7" s="26"/>
      <c r="O7" s="14"/>
      <c r="P7" s="14"/>
      <c r="R7" s="26"/>
      <c r="S7" s="26"/>
      <c r="U7" s="13"/>
    </row>
    <row r="8" spans="1:21">
      <c r="A8" s="14"/>
      <c r="B8" s="14"/>
      <c r="C8" s="14"/>
      <c r="D8" s="14"/>
      <c r="E8" s="14"/>
      <c r="F8" s="14"/>
      <c r="H8" s="26"/>
      <c r="I8" s="26"/>
      <c r="J8" s="14"/>
      <c r="K8" s="14"/>
      <c r="M8" s="26"/>
      <c r="N8" s="26"/>
      <c r="O8" s="14"/>
      <c r="P8" s="14"/>
      <c r="R8" s="26"/>
      <c r="S8" s="26"/>
      <c r="U8" s="13"/>
    </row>
    <row r="9" spans="1:21">
      <c r="A9" s="14"/>
      <c r="B9" s="14"/>
      <c r="C9" s="14"/>
      <c r="D9" s="14"/>
      <c r="E9" s="14"/>
      <c r="F9" s="14"/>
      <c r="H9" s="26"/>
      <c r="I9" s="26"/>
      <c r="J9" s="14"/>
      <c r="K9" s="14"/>
      <c r="M9" s="26"/>
      <c r="N9" s="26"/>
      <c r="O9" s="14"/>
      <c r="P9" s="14"/>
      <c r="R9" s="26"/>
      <c r="S9" s="26"/>
      <c r="U9" s="13"/>
    </row>
    <row r="10" spans="1:21">
      <c r="A10" s="14"/>
      <c r="B10" s="14"/>
      <c r="C10" s="14"/>
      <c r="D10" s="14"/>
      <c r="E10" s="14"/>
      <c r="F10" s="14"/>
      <c r="H10" s="26"/>
      <c r="I10" s="26"/>
      <c r="J10" s="14"/>
      <c r="K10" s="14"/>
      <c r="M10" s="26"/>
      <c r="N10" s="26"/>
      <c r="O10" s="14"/>
      <c r="P10" s="14"/>
      <c r="R10" s="26"/>
      <c r="S10" s="26"/>
      <c r="U10" s="13"/>
    </row>
    <row r="11" spans="1:21">
      <c r="A11" s="14"/>
      <c r="B11" s="14"/>
      <c r="C11" s="14"/>
      <c r="D11" s="14"/>
      <c r="E11" s="14"/>
      <c r="F11" s="14"/>
      <c r="H11" s="26"/>
      <c r="I11" s="26"/>
      <c r="J11" s="14"/>
      <c r="K11" s="14"/>
      <c r="M11" s="26"/>
      <c r="N11" s="26"/>
      <c r="O11" s="14"/>
      <c r="P11" s="14"/>
      <c r="R11" s="26"/>
      <c r="S11" s="26"/>
      <c r="U11" s="13"/>
    </row>
    <row r="12" spans="1:21">
      <c r="A12" s="14"/>
      <c r="B12" s="14"/>
      <c r="C12" s="14"/>
      <c r="D12" s="14"/>
      <c r="E12" s="14"/>
      <c r="F12" s="14"/>
      <c r="H12" s="26"/>
      <c r="I12" s="26"/>
      <c r="J12" s="14"/>
      <c r="K12" s="14"/>
      <c r="M12" s="26"/>
      <c r="N12" s="26"/>
      <c r="O12" s="14"/>
      <c r="P12" s="14"/>
      <c r="R12" s="26"/>
      <c r="S12" s="26"/>
      <c r="U12" s="13"/>
    </row>
    <row r="13" spans="1:21">
      <c r="A13" s="14"/>
      <c r="B13" s="14"/>
      <c r="C13" s="14"/>
      <c r="D13" s="14"/>
      <c r="E13" s="14"/>
      <c r="F13" s="14"/>
      <c r="H13" s="26"/>
      <c r="I13" s="26"/>
      <c r="J13" s="14"/>
      <c r="K13" s="14"/>
      <c r="M13" s="26"/>
      <c r="N13" s="26"/>
      <c r="O13" s="14"/>
      <c r="P13" s="14"/>
      <c r="Q13" s="14"/>
      <c r="U13" s="13"/>
    </row>
    <row r="14" spans="1:21">
      <c r="A14" s="14"/>
      <c r="B14" s="14"/>
      <c r="C14" s="14"/>
      <c r="D14" s="14"/>
      <c r="E14" s="14"/>
      <c r="F14" s="14"/>
      <c r="H14" s="26"/>
      <c r="I14" s="26"/>
      <c r="J14" s="14"/>
      <c r="K14" s="14"/>
      <c r="M14" s="26"/>
      <c r="N14" s="26"/>
      <c r="O14" s="14"/>
      <c r="P14" s="14"/>
      <c r="Q14" s="14"/>
      <c r="U14" s="13"/>
    </row>
    <row r="15" spans="1:21">
      <c r="A15" s="14"/>
      <c r="B15" s="14"/>
      <c r="C15" s="15"/>
      <c r="D15" s="15"/>
      <c r="E15" s="14"/>
      <c r="F15" s="14"/>
      <c r="H15" s="26"/>
      <c r="I15" s="26"/>
      <c r="J15" s="14"/>
      <c r="K15" s="14"/>
      <c r="M15" s="26"/>
      <c r="N15" s="26"/>
      <c r="O15" s="14"/>
      <c r="P15" s="14"/>
      <c r="Q15" s="14"/>
      <c r="U15" s="13"/>
    </row>
    <row r="16" spans="1:21">
      <c r="A16" s="14"/>
      <c r="B16" s="14"/>
      <c r="C16" s="14"/>
      <c r="D16" s="14"/>
      <c r="E16" s="14"/>
      <c r="F16" s="14"/>
      <c r="H16" s="26"/>
      <c r="I16" s="26"/>
      <c r="J16" s="14"/>
      <c r="K16" s="14"/>
      <c r="M16" s="26"/>
      <c r="N16" s="26"/>
      <c r="O16" s="14"/>
      <c r="P16" s="14"/>
      <c r="Q16" s="14"/>
      <c r="U16" s="13"/>
    </row>
    <row r="17" spans="1:21">
      <c r="A17" s="14"/>
      <c r="B17" s="14"/>
      <c r="C17" s="14"/>
      <c r="D17" s="14"/>
      <c r="E17" s="14"/>
      <c r="F17" s="14"/>
      <c r="H17" s="26"/>
      <c r="I17" s="26"/>
      <c r="J17" s="14"/>
      <c r="K17" s="14"/>
      <c r="M17" s="26"/>
      <c r="N17" s="26"/>
      <c r="O17" s="14"/>
      <c r="P17" s="14"/>
      <c r="Q17" s="14"/>
      <c r="U17" s="13"/>
    </row>
    <row r="18" spans="1:21">
      <c r="A18" s="14"/>
      <c r="B18" s="14"/>
      <c r="C18" s="14"/>
      <c r="D18" s="14"/>
      <c r="E18" s="14"/>
      <c r="F18" s="14"/>
      <c r="G18" s="14"/>
      <c r="H18" s="15"/>
      <c r="I18" s="15"/>
      <c r="J18" s="14"/>
      <c r="K18" s="14"/>
      <c r="M18" s="26"/>
      <c r="N18" s="26"/>
      <c r="O18" s="14"/>
      <c r="P18" s="14"/>
      <c r="Q18" s="14"/>
      <c r="U18" s="13"/>
    </row>
    <row r="19" spans="1:21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M19" s="26"/>
      <c r="N19" s="26"/>
      <c r="O19" s="14"/>
      <c r="P19" s="14"/>
      <c r="Q19" s="14"/>
      <c r="U19" s="13"/>
    </row>
    <row r="20" spans="1:21" s="9" customFormat="1">
      <c r="A20" s="14"/>
      <c r="B20" s="14"/>
      <c r="C20" s="15"/>
      <c r="D20" s="15"/>
      <c r="E20" s="14"/>
      <c r="F20" s="14"/>
      <c r="G20" s="14"/>
      <c r="H20" s="15"/>
      <c r="I20" s="15"/>
      <c r="J20" s="14"/>
      <c r="K20" s="14"/>
      <c r="L20" s="13"/>
      <c r="M20" s="26"/>
      <c r="N20" s="26"/>
      <c r="O20" s="14"/>
      <c r="P20" s="14"/>
      <c r="Q20" s="14"/>
      <c r="U20" s="13"/>
    </row>
    <row r="21" spans="1:21" s="9" customFormat="1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3"/>
      <c r="M21" s="26"/>
      <c r="N21" s="26"/>
      <c r="O21" s="14"/>
      <c r="P21" s="14"/>
      <c r="Q21" s="14"/>
      <c r="U21" s="13"/>
    </row>
    <row r="22" spans="1:21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M22" s="26"/>
      <c r="N22" s="26"/>
      <c r="O22" s="14"/>
      <c r="P22" s="14"/>
      <c r="Q22" s="14"/>
      <c r="U22" s="13"/>
    </row>
    <row r="23" spans="1:21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M23" s="26"/>
      <c r="N23" s="26"/>
      <c r="O23" s="14"/>
      <c r="P23" s="14"/>
      <c r="Q23" s="14"/>
      <c r="U23" s="13"/>
    </row>
    <row r="24" spans="1:2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M24" s="26"/>
      <c r="N24" s="26"/>
      <c r="O24" s="14"/>
      <c r="P24" s="14"/>
      <c r="Q24" s="14"/>
      <c r="U24" s="13"/>
    </row>
    <row r="25" spans="1:21">
      <c r="A25" s="13"/>
      <c r="C25" s="13"/>
      <c r="D25" s="13"/>
      <c r="F25" s="13"/>
      <c r="H25" s="13"/>
      <c r="I25" s="13"/>
      <c r="K25" s="14"/>
      <c r="M25" s="26"/>
      <c r="N25" s="26"/>
      <c r="P25" s="13"/>
      <c r="U25" s="13"/>
    </row>
    <row r="26" spans="1:21">
      <c r="A26" s="13"/>
      <c r="C26" s="13"/>
      <c r="D26" s="13"/>
      <c r="F26" s="13"/>
      <c r="H26" s="13"/>
      <c r="I26" s="13"/>
      <c r="K26" s="14"/>
      <c r="M26" s="26"/>
      <c r="N26" s="26"/>
      <c r="P26" s="13"/>
      <c r="U26" s="13"/>
    </row>
    <row r="27" spans="1:21">
      <c r="A27" s="13"/>
      <c r="C27" s="13"/>
      <c r="D27" s="13"/>
      <c r="F27" s="13"/>
      <c r="H27" s="13"/>
      <c r="I27" s="13"/>
      <c r="K27" s="14"/>
      <c r="M27" s="26"/>
      <c r="N27" s="26"/>
      <c r="P27" s="13"/>
      <c r="U27" s="13"/>
    </row>
    <row r="28" spans="1:21">
      <c r="A28" s="13"/>
      <c r="C28" s="13"/>
      <c r="D28" s="13"/>
      <c r="F28" s="13"/>
      <c r="H28" s="13"/>
      <c r="I28" s="13"/>
      <c r="K28" s="14"/>
      <c r="M28" s="26"/>
      <c r="N28" s="26"/>
      <c r="P28" s="13"/>
      <c r="U28" s="13"/>
    </row>
    <row r="29" spans="1:21">
      <c r="A29" s="13"/>
      <c r="C29" s="13"/>
      <c r="D29" s="13"/>
      <c r="F29" s="13"/>
      <c r="H29" s="13"/>
      <c r="I29" s="13"/>
      <c r="K29" s="13"/>
      <c r="M29" s="13"/>
      <c r="N29" s="13"/>
      <c r="P29" s="13"/>
      <c r="U29" s="13"/>
    </row>
    <row r="30" spans="1:21">
      <c r="A30" s="13"/>
      <c r="C30" s="13"/>
      <c r="D30" s="13"/>
      <c r="F30" s="13"/>
      <c r="H30" s="13"/>
      <c r="I30" s="13"/>
      <c r="K30" s="13"/>
      <c r="M30" s="13"/>
      <c r="N30" s="13"/>
      <c r="P30" s="13"/>
      <c r="U30" s="13"/>
    </row>
    <row r="31" spans="1:21">
      <c r="A31" s="13"/>
      <c r="C31" s="13"/>
      <c r="D31" s="13"/>
      <c r="F31" s="13"/>
      <c r="H31" s="13"/>
      <c r="I31" s="13"/>
      <c r="K31" s="13"/>
      <c r="M31" s="13"/>
      <c r="N31" s="13"/>
      <c r="P31" s="13"/>
      <c r="U31" s="13"/>
    </row>
    <row r="32" spans="1:21">
      <c r="A32" s="13"/>
      <c r="C32" s="13"/>
      <c r="D32" s="13"/>
      <c r="F32" s="13"/>
      <c r="H32" s="13"/>
      <c r="I32" s="13"/>
      <c r="K32" s="13"/>
      <c r="M32" s="13"/>
      <c r="N32" s="13"/>
      <c r="P32" s="13"/>
      <c r="U32" s="13"/>
    </row>
    <row r="33" spans="1:21">
      <c r="A33" s="13"/>
      <c r="C33" s="13"/>
      <c r="D33" s="13"/>
      <c r="F33" s="13"/>
      <c r="H33" s="13"/>
      <c r="I33" s="13"/>
      <c r="K33" s="13"/>
      <c r="M33" s="13"/>
      <c r="N33" s="13"/>
      <c r="P33" s="13"/>
      <c r="U33" s="13"/>
    </row>
    <row r="34" spans="1:21">
      <c r="A34" s="13"/>
      <c r="C34" s="13"/>
      <c r="D34" s="13"/>
      <c r="F34" s="13"/>
      <c r="H34" s="13"/>
      <c r="I34" s="13"/>
      <c r="K34" s="13"/>
      <c r="M34" s="13"/>
      <c r="N34" s="13"/>
      <c r="P34" s="13"/>
      <c r="R34" s="13"/>
      <c r="S34" s="13"/>
      <c r="U34" s="13"/>
    </row>
    <row r="35" spans="1:21">
      <c r="A35" s="13"/>
      <c r="C35" s="13"/>
      <c r="D35" s="13"/>
      <c r="F35" s="13"/>
      <c r="H35" s="13"/>
      <c r="I35" s="13"/>
      <c r="K35" s="13"/>
      <c r="M35" s="13"/>
      <c r="N35" s="13"/>
      <c r="P35" s="13"/>
      <c r="R35" s="13"/>
      <c r="S35" s="13"/>
      <c r="U35" s="13"/>
    </row>
    <row r="36" spans="1:21">
      <c r="A36" s="13"/>
      <c r="C36" s="13"/>
      <c r="D36" s="13"/>
      <c r="F36" s="13"/>
      <c r="H36" s="13"/>
      <c r="I36" s="13"/>
      <c r="K36" s="13"/>
      <c r="M36" s="13"/>
      <c r="N36" s="13"/>
      <c r="P36" s="13"/>
      <c r="R36" s="13"/>
      <c r="S36" s="13"/>
      <c r="U36" s="13"/>
    </row>
    <row r="37" spans="1:21">
      <c r="A37" s="13"/>
      <c r="C37" s="13"/>
      <c r="D37" s="13"/>
      <c r="F37" s="13"/>
      <c r="H37" s="13"/>
      <c r="I37" s="13"/>
      <c r="K37" s="13"/>
      <c r="M37" s="13"/>
      <c r="N37" s="13"/>
      <c r="P37" s="13"/>
      <c r="R37" s="13"/>
      <c r="S37" s="13"/>
      <c r="U37" s="13"/>
    </row>
    <row r="38" spans="1:21">
      <c r="A38" s="13"/>
      <c r="C38" s="13"/>
      <c r="D38" s="13"/>
      <c r="F38" s="13"/>
      <c r="H38" s="13"/>
      <c r="I38" s="13"/>
      <c r="K38" s="13"/>
      <c r="M38" s="13"/>
      <c r="N38" s="13"/>
      <c r="P38" s="13"/>
      <c r="R38" s="13"/>
      <c r="S38" s="13"/>
      <c r="U38" s="13"/>
    </row>
    <row r="39" spans="1:21">
      <c r="A39" s="13"/>
      <c r="C39" s="13"/>
      <c r="D39" s="13"/>
      <c r="F39" s="13"/>
      <c r="H39" s="13"/>
      <c r="I39" s="13"/>
      <c r="K39" s="13"/>
      <c r="M39" s="13"/>
      <c r="N39" s="13"/>
      <c r="P39" s="13"/>
      <c r="R39" s="13"/>
      <c r="S39" s="13"/>
      <c r="U39" s="13"/>
    </row>
    <row r="40" spans="1:21">
      <c r="A40" s="13"/>
      <c r="C40" s="13"/>
      <c r="D40" s="13"/>
      <c r="F40" s="13"/>
      <c r="H40" s="13"/>
      <c r="I40" s="13"/>
      <c r="K40" s="13"/>
      <c r="M40" s="13"/>
      <c r="N40" s="13"/>
      <c r="P40" s="13"/>
      <c r="R40" s="13"/>
      <c r="S40" s="13"/>
      <c r="U40" s="13"/>
    </row>
    <row r="41" spans="1:21">
      <c r="A41" s="13"/>
      <c r="C41" s="13"/>
      <c r="D41" s="13"/>
      <c r="F41" s="13"/>
      <c r="H41" s="13"/>
      <c r="I41" s="13"/>
      <c r="K41" s="13"/>
      <c r="M41" s="13"/>
      <c r="N41" s="13"/>
      <c r="P41" s="13"/>
      <c r="R41" s="13"/>
      <c r="S41" s="13"/>
      <c r="U41" s="13"/>
    </row>
    <row r="42" spans="1:21">
      <c r="A42" s="14"/>
      <c r="B42" s="14"/>
      <c r="C42" s="14"/>
      <c r="D42" s="14"/>
      <c r="F42" s="14"/>
      <c r="G42" s="14"/>
      <c r="H42" s="14"/>
      <c r="I42" s="14"/>
      <c r="K42" s="13"/>
      <c r="L42" s="14"/>
      <c r="M42" s="14"/>
      <c r="N42" s="14"/>
      <c r="P42" s="14"/>
      <c r="Q42" s="14"/>
      <c r="R42" s="15"/>
      <c r="S42" s="15"/>
      <c r="U42" s="13"/>
    </row>
    <row r="43" spans="1:21">
      <c r="A43" s="14"/>
      <c r="B43" s="14"/>
      <c r="C43" s="14"/>
      <c r="D43" s="14"/>
      <c r="F43" s="14"/>
      <c r="G43" s="14"/>
      <c r="H43" s="14"/>
      <c r="I43" s="14"/>
      <c r="K43" s="13"/>
      <c r="L43" s="14"/>
      <c r="M43" s="14"/>
      <c r="N43" s="14"/>
      <c r="P43" s="14"/>
      <c r="Q43" s="14"/>
      <c r="R43" s="14"/>
      <c r="S43" s="14"/>
      <c r="U43" s="13"/>
    </row>
    <row r="44" spans="1:21">
      <c r="A44" s="14"/>
      <c r="B44" s="14"/>
      <c r="C44" s="14"/>
      <c r="D44" s="14"/>
      <c r="F44" s="14"/>
      <c r="G44" s="14"/>
      <c r="H44" s="14"/>
      <c r="I44" s="14"/>
      <c r="K44" s="13"/>
      <c r="L44" s="14"/>
      <c r="M44" s="14"/>
      <c r="N44" s="14"/>
      <c r="P44" s="14"/>
      <c r="Q44" s="14"/>
      <c r="R44" s="14"/>
      <c r="S44" s="14"/>
      <c r="U44" s="13"/>
    </row>
    <row r="45" spans="1:21">
      <c r="A45" s="14"/>
      <c r="B45" s="14"/>
      <c r="C45" s="14"/>
      <c r="D45" s="14"/>
      <c r="F45" s="14"/>
      <c r="G45" s="14"/>
      <c r="H45" s="14"/>
      <c r="I45" s="14"/>
      <c r="K45" s="13"/>
      <c r="L45" s="14"/>
      <c r="M45" s="14"/>
      <c r="N45" s="14"/>
      <c r="P45" s="13"/>
      <c r="R45" s="15"/>
      <c r="S45" s="15"/>
      <c r="U45" s="13"/>
    </row>
    <row r="46" spans="1:21">
      <c r="A46" s="14"/>
      <c r="B46" s="14"/>
      <c r="C46" s="14"/>
      <c r="D46" s="14"/>
      <c r="F46" s="13"/>
      <c r="H46" s="13"/>
      <c r="I46" s="13"/>
      <c r="L46" s="14"/>
      <c r="M46" s="14"/>
      <c r="N46" s="14"/>
      <c r="P46" s="13"/>
      <c r="R46" s="15"/>
      <c r="S46" s="15"/>
      <c r="U46" s="13"/>
    </row>
    <row r="47" spans="1:21">
      <c r="A47" s="14"/>
      <c r="B47" s="14"/>
      <c r="C47" s="14"/>
      <c r="D47" s="14"/>
      <c r="F47" s="13"/>
      <c r="H47" s="13"/>
      <c r="I47" s="13"/>
      <c r="L47" s="14"/>
      <c r="M47" s="14"/>
      <c r="N47" s="14"/>
      <c r="P47" s="13"/>
      <c r="R47" s="13"/>
      <c r="S47" s="13"/>
      <c r="U47" s="13"/>
    </row>
    <row r="48" spans="1:21">
      <c r="A48" s="14"/>
      <c r="B48" s="14"/>
      <c r="C48" s="14"/>
      <c r="D48" s="14"/>
      <c r="F48" s="13"/>
      <c r="H48" s="13"/>
      <c r="I48" s="13"/>
      <c r="L48" s="14"/>
      <c r="M48" s="14"/>
      <c r="N48" s="14"/>
      <c r="P48" s="13"/>
      <c r="R48" s="15"/>
      <c r="S48" s="15"/>
      <c r="U48" s="13"/>
    </row>
    <row r="49" spans="1:21">
      <c r="A49" s="14"/>
      <c r="B49" s="14"/>
      <c r="C49" s="14"/>
      <c r="D49" s="14"/>
      <c r="F49" s="13"/>
      <c r="H49" s="13"/>
      <c r="I49" s="13"/>
      <c r="L49" s="14"/>
      <c r="M49" s="14"/>
      <c r="N49" s="14"/>
      <c r="P49" s="13"/>
      <c r="R49" s="13"/>
      <c r="S49" s="13"/>
      <c r="U49" s="13"/>
    </row>
    <row r="50" spans="1:21">
      <c r="A50" s="14"/>
      <c r="B50" s="14"/>
      <c r="C50" s="14"/>
      <c r="D50" s="14"/>
      <c r="F50" s="13"/>
      <c r="H50" s="13"/>
      <c r="I50" s="13"/>
      <c r="L50" s="14"/>
      <c r="M50" s="15"/>
      <c r="N50" s="15"/>
      <c r="P50" s="13"/>
      <c r="R50" s="13"/>
      <c r="S50" s="13"/>
      <c r="U50" s="13"/>
    </row>
    <row r="51" spans="1:21">
      <c r="A51" s="14"/>
      <c r="B51" s="14"/>
      <c r="C51" s="14"/>
      <c r="D51" s="14"/>
      <c r="F51" s="13"/>
      <c r="H51" s="13"/>
      <c r="I51" s="13"/>
      <c r="L51" s="14"/>
      <c r="M51" s="14"/>
      <c r="N51" s="14"/>
      <c r="P51" s="13"/>
      <c r="R51" s="13"/>
      <c r="S51" s="13"/>
      <c r="U51" s="13"/>
    </row>
    <row r="52" spans="1:21">
      <c r="A52" s="14"/>
      <c r="B52" s="14"/>
      <c r="C52" s="14"/>
      <c r="D52" s="14"/>
      <c r="F52" s="13"/>
      <c r="H52" s="13"/>
      <c r="I52" s="13"/>
      <c r="M52" s="13"/>
      <c r="N52" s="13"/>
      <c r="P52" s="13"/>
      <c r="R52" s="13"/>
      <c r="S52" s="13"/>
      <c r="U52" s="13"/>
    </row>
    <row r="53" spans="1:21">
      <c r="A53" s="10"/>
      <c r="B53" s="14"/>
      <c r="C53" s="8"/>
      <c r="D53" s="8"/>
      <c r="F53" s="9"/>
      <c r="L53" s="14"/>
      <c r="M53" s="24"/>
      <c r="N53" s="24"/>
      <c r="P53" s="10"/>
      <c r="Q53" s="14"/>
      <c r="R53" s="8"/>
      <c r="S53" s="8"/>
      <c r="U53" s="13"/>
    </row>
    <row r="54" spans="1:21">
      <c r="A54" s="10"/>
      <c r="B54" s="14"/>
      <c r="F54" s="9"/>
      <c r="L54" s="14"/>
      <c r="M54" s="24"/>
      <c r="N54" s="24"/>
      <c r="P54" s="10"/>
      <c r="Q54" s="14"/>
      <c r="R54" s="8"/>
      <c r="S54" s="8"/>
      <c r="U54" s="13"/>
    </row>
    <row r="55" spans="1:21">
      <c r="A55" s="10"/>
      <c r="B55" s="14"/>
      <c r="F55" s="9"/>
      <c r="L55" s="14"/>
      <c r="M55" s="24"/>
      <c r="N55" s="24"/>
      <c r="P55" s="10"/>
      <c r="Q55" s="14"/>
      <c r="R55" s="8"/>
      <c r="S55" s="8"/>
      <c r="U55" s="13"/>
    </row>
    <row r="56" spans="1:21">
      <c r="A56" s="9"/>
      <c r="F56" s="9"/>
      <c r="L56" s="14"/>
      <c r="M56" s="24"/>
      <c r="N56" s="24"/>
      <c r="P56" s="10"/>
      <c r="Q56" s="14"/>
      <c r="R56" s="8"/>
      <c r="S56" s="8"/>
    </row>
    <row r="57" spans="1:21">
      <c r="A57" s="9"/>
      <c r="F57" s="9"/>
      <c r="H57" s="8"/>
      <c r="I57" s="8"/>
      <c r="L57" s="14"/>
      <c r="M57" s="24"/>
      <c r="N57" s="24"/>
      <c r="P57" s="10"/>
      <c r="Q57" s="14"/>
      <c r="R57" s="8"/>
      <c r="S57" s="8"/>
    </row>
    <row r="58" spans="1:21">
      <c r="A58" s="9"/>
      <c r="C58" s="8"/>
      <c r="D58" s="8"/>
      <c r="F58" s="9"/>
      <c r="H58" s="8"/>
      <c r="I58" s="8"/>
      <c r="L58" s="14"/>
      <c r="M58" s="8"/>
      <c r="N58" s="8"/>
      <c r="P58" s="10"/>
      <c r="Q58" s="14"/>
      <c r="R58" s="8"/>
      <c r="S58" s="8"/>
    </row>
    <row r="59" spans="1:21">
      <c r="A59" s="9"/>
      <c r="C59" s="8"/>
      <c r="D59" s="8"/>
      <c r="F59" s="9"/>
      <c r="H59" s="8"/>
      <c r="I59" s="8"/>
      <c r="L59" s="14"/>
      <c r="M59" s="8"/>
      <c r="N59" s="8"/>
      <c r="P59" s="9"/>
      <c r="R59" s="8"/>
      <c r="S59" s="8"/>
    </row>
    <row r="60" spans="1:21">
      <c r="A60" s="9"/>
      <c r="F60" s="9"/>
      <c r="H60" s="8"/>
      <c r="I60" s="8"/>
      <c r="L60" s="14"/>
      <c r="M60" s="8"/>
      <c r="N60" s="8"/>
      <c r="P60" s="9"/>
      <c r="R60" s="8"/>
      <c r="S60" s="8"/>
    </row>
    <row r="61" spans="1:21">
      <c r="A61" s="9"/>
      <c r="C61" s="8"/>
      <c r="D61" s="8"/>
      <c r="F61" s="9"/>
      <c r="H61" s="8"/>
      <c r="I61" s="8"/>
      <c r="L61" s="14"/>
      <c r="M61" s="24"/>
      <c r="N61" s="24"/>
      <c r="P61" s="9"/>
      <c r="R61" s="8"/>
      <c r="S61" s="8"/>
    </row>
    <row r="62" spans="1:21">
      <c r="A62" s="9"/>
      <c r="C62" s="8"/>
      <c r="D62" s="8"/>
      <c r="F62" s="9"/>
      <c r="H62" s="8"/>
      <c r="I62" s="8"/>
      <c r="L62" s="14"/>
      <c r="M62" s="24"/>
      <c r="N62" s="24"/>
      <c r="P62" s="9"/>
      <c r="R62" s="8"/>
      <c r="S62" s="8"/>
    </row>
    <row r="63" spans="1:21">
      <c r="A63" s="9"/>
      <c r="C63" s="8"/>
      <c r="D63" s="8"/>
      <c r="F63" s="9"/>
      <c r="H63" s="8"/>
      <c r="I63" s="8"/>
      <c r="L63" s="14"/>
      <c r="M63" s="24"/>
      <c r="N63" s="24"/>
      <c r="P63" s="9"/>
    </row>
    <row r="64" spans="1:21">
      <c r="M64" s="24"/>
      <c r="N64" s="24"/>
    </row>
    <row r="65" spans="13:14">
      <c r="M65" s="24"/>
      <c r="N65" s="24"/>
    </row>
    <row r="66" spans="13:14">
      <c r="M66" s="24"/>
      <c r="N66" s="24"/>
    </row>
    <row r="67" spans="13:14">
      <c r="M67" s="24"/>
      <c r="N67" s="24"/>
    </row>
    <row r="68" spans="13:14">
      <c r="M68" s="24"/>
      <c r="N68" s="24"/>
    </row>
    <row r="69" spans="13:14">
      <c r="M69" s="24"/>
      <c r="N69" s="24"/>
    </row>
    <row r="70" spans="13:14">
      <c r="M70" s="24"/>
      <c r="N70" s="24"/>
    </row>
  </sheetData>
  <sortState ref="P3:S12">
    <sortCondition ref="Q2"/>
  </sortState>
  <mergeCells count="4">
    <mergeCell ref="A1:D1"/>
    <mergeCell ref="F1:I1"/>
    <mergeCell ref="K1:N1"/>
    <mergeCell ref="P1:S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48"/>
  <sheetViews>
    <sheetView zoomScaleNormal="100"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B2" sqref="B2"/>
    </sheetView>
  </sheetViews>
  <sheetFormatPr defaultRowHeight="15"/>
  <cols>
    <col min="1" max="1" width="16.140625" style="1" bestFit="1" customWidth="1"/>
    <col min="2" max="2" width="4.5703125" style="2" customWidth="1"/>
    <col min="3" max="3" width="5.28515625" style="2" bestFit="1" customWidth="1"/>
    <col min="4" max="4" width="7.28515625" style="2" bestFit="1" customWidth="1"/>
    <col min="5" max="5" width="5.7109375" style="6" bestFit="1" customWidth="1"/>
    <col min="6" max="6" width="9.5703125" style="2" bestFit="1" customWidth="1"/>
    <col min="8" max="11" width="9.5703125" bestFit="1" customWidth="1"/>
  </cols>
  <sheetData>
    <row r="1" spans="1:11">
      <c r="A1" s="19" t="s">
        <v>5</v>
      </c>
      <c r="B1" s="20" t="s">
        <v>22</v>
      </c>
      <c r="C1" s="20" t="s">
        <v>10</v>
      </c>
      <c r="D1" s="20" t="s">
        <v>23</v>
      </c>
      <c r="E1" s="20" t="s">
        <v>6</v>
      </c>
      <c r="F1" s="20" t="s">
        <v>9</v>
      </c>
      <c r="G1" s="20" t="s">
        <v>620</v>
      </c>
      <c r="J1" s="20" t="s">
        <v>11</v>
      </c>
      <c r="K1" s="20" t="s">
        <v>12</v>
      </c>
    </row>
    <row r="2" spans="1:11" ht="16.5">
      <c r="A2" s="14" t="s">
        <v>46</v>
      </c>
      <c r="B2" s="4">
        <f>VLOOKUP(A2,联盟DKP榜单!A$1:C$598,3,FALSE)-40*COUNTIF(扣分!A:A,A2)</f>
        <v>129</v>
      </c>
      <c r="C2" s="22">
        <f>50*COUNTIF(帮战总榜!A$1:AB$150,$A2)+40*COUNTIF(掠夺!A$1:AB$150,$A2)</f>
        <v>80</v>
      </c>
      <c r="D2" s="22">
        <f>20*COUNTIF(YY统计!A$2:M$150,$A2)</f>
        <v>80</v>
      </c>
      <c r="E2" s="22">
        <f>SUM(B2:D2)</f>
        <v>289</v>
      </c>
      <c r="F2" s="24">
        <f>IF(AND(E2&gt;=16,E2&lt;66),0.01,ROUNDDOWN((E2-16)/50,0))</f>
        <v>5</v>
      </c>
      <c r="G2" s="13">
        <f>IF(AND(F2&gt;=1,F2&lt;=6),E2-F2*50-16,IF(F2=0.01,E2-16,IF(F2=0,0,IF(F2&gt;6,E2-316,0))))</f>
        <v>23</v>
      </c>
      <c r="J2" s="3">
        <f>INT(SUM(F2:F158))</f>
        <v>105</v>
      </c>
      <c r="K2" s="3">
        <f>COUNTIF(F:F,"&gt;"&amp;6)</f>
        <v>0</v>
      </c>
    </row>
    <row r="3" spans="1:11" ht="16.5">
      <c r="A3" s="14" t="s">
        <v>42</v>
      </c>
      <c r="B3" s="4">
        <f>VLOOKUP(A3,联盟DKP榜单!A$1:C$598,3,FALSE)-40*COUNTIF(扣分!A:A,A3)</f>
        <v>125</v>
      </c>
      <c r="C3" s="24">
        <f>50*COUNTIF(帮战总榜!A$1:AB$150,$A3)+40*COUNTIF(掠夺!A$1:AB$150,$A3)</f>
        <v>80</v>
      </c>
      <c r="D3" s="24">
        <f>20*COUNTIF(YY统计!A$2:M$150,$A3)</f>
        <v>80</v>
      </c>
      <c r="E3" s="24">
        <f>SUM(B3:D3)</f>
        <v>285</v>
      </c>
      <c r="F3" s="24">
        <f>IF(AND(E3&gt;=16,E3&lt;66),0.01,ROUNDDOWN((E3-16)/50,0))</f>
        <v>5</v>
      </c>
      <c r="G3" s="13">
        <f>IF(AND(F3&gt;=1,F3&lt;=6),E3-F3*50-16,IF(F3=0.01,E3-16,IF(F3=0,0,IF(F3&gt;6,E3-316,0))))</f>
        <v>19</v>
      </c>
    </row>
    <row r="4" spans="1:11" ht="16.5">
      <c r="A4" s="14" t="s">
        <v>56</v>
      </c>
      <c r="B4" s="4">
        <f>VLOOKUP(A4,联盟DKP榜单!A$1:C$598,3,FALSE)-40*COUNTIF(扣分!A:A,A4)</f>
        <v>119</v>
      </c>
      <c r="C4" s="24">
        <f>50*COUNTIF(帮战总榜!A$1:AB$150,$A4)+40*COUNTIF(掠夺!A$1:AB$150,$A4)</f>
        <v>80</v>
      </c>
      <c r="D4" s="24">
        <f>20*COUNTIF(YY统计!A$2:M$150,$A4)</f>
        <v>100</v>
      </c>
      <c r="E4" s="24">
        <f>SUM(B4:D4)</f>
        <v>299</v>
      </c>
      <c r="F4" s="24">
        <f>IF(AND(E4&gt;=16,E4&lt;66),0.01,ROUNDDOWN((E4-16)/50,0))</f>
        <v>5</v>
      </c>
      <c r="G4" s="13">
        <f>IF(AND(F4&gt;=1,F4&lt;=6),E4-F4*50-16,IF(F4=0.01,E4-16,IF(F4=0,0,IF(F4&gt;6,E4-316,0))))</f>
        <v>33</v>
      </c>
    </row>
    <row r="5" spans="1:11" ht="16.5">
      <c r="A5" s="14" t="s">
        <v>33</v>
      </c>
      <c r="B5" s="4">
        <f>VLOOKUP(A5,联盟DKP榜单!A$1:C$598,3,FALSE)-40*COUNTIF(扣分!A:A,A5)</f>
        <v>113</v>
      </c>
      <c r="C5" s="24">
        <f>50*COUNTIF(帮战总榜!A$1:AB$150,$A5)+40*COUNTIF(掠夺!A$1:AB$150,$A5)</f>
        <v>80</v>
      </c>
      <c r="D5" s="24">
        <f>20*COUNTIF(YY统计!A$2:M$150,$A5)</f>
        <v>80</v>
      </c>
      <c r="E5" s="24">
        <f>SUM(B5:D5)</f>
        <v>273</v>
      </c>
      <c r="F5" s="24">
        <f>IF(AND(E5&gt;=16,E5&lt;66),0.01,ROUNDDOWN((E5-16)/50,0))</f>
        <v>5</v>
      </c>
      <c r="G5" s="13">
        <f>IF(AND(F5&gt;=1,F5&lt;=6),E5-F5*50-16,IF(F5=0.01,E5-16,IF(F5=0,0,IF(F5&gt;6,E5-316,0))))</f>
        <v>7</v>
      </c>
    </row>
    <row r="6" spans="1:11" ht="16.5">
      <c r="A6" s="14" t="s">
        <v>43</v>
      </c>
      <c r="B6" s="4">
        <f>VLOOKUP(A6,联盟DKP榜单!A$1:C$598,3,FALSE)-40*COUNTIF(扣分!A:A,A6)</f>
        <v>125</v>
      </c>
      <c r="C6" s="24">
        <f>50*COUNTIF(帮战总榜!A$1:AB$150,$A6)+40*COUNTIF(掠夺!A$1:AB$150,$A6)</f>
        <v>80</v>
      </c>
      <c r="D6" s="24">
        <f>20*COUNTIF(YY统计!A$2:M$150,$A6)</f>
        <v>60</v>
      </c>
      <c r="E6" s="24">
        <f>SUM(B6:D6)</f>
        <v>265</v>
      </c>
      <c r="F6" s="24">
        <f>IF(AND(E6&gt;=16,E6&lt;66),0.01,ROUNDDOWN((E6-16)/50,0))</f>
        <v>4</v>
      </c>
      <c r="G6" s="13">
        <f>IF(AND(F6&gt;=1,F6&lt;=6),E6-F6*50-16,IF(F6=0.01,E6-16,IF(F6=0,0,IF(F6&gt;6,E6-316,0))))</f>
        <v>49</v>
      </c>
    </row>
    <row r="7" spans="1:11" ht="16.5">
      <c r="A7" s="14" t="s">
        <v>32</v>
      </c>
      <c r="B7" s="4">
        <f>VLOOKUP(A7,联盟DKP榜单!A$1:C$598,3,FALSE)-40*COUNTIF(扣分!A:A,A7)</f>
        <v>110</v>
      </c>
      <c r="C7" s="24">
        <f>50*COUNTIF(帮战总榜!A$1:AB$150,$A7)+40*COUNTIF(掠夺!A$1:AB$150,$A7)</f>
        <v>80</v>
      </c>
      <c r="D7" s="24">
        <f>20*COUNTIF(YY统计!A$2:M$150,$A7)</f>
        <v>40</v>
      </c>
      <c r="E7" s="24">
        <f>SUM(B7:D7)</f>
        <v>230</v>
      </c>
      <c r="F7" s="24">
        <f>IF(AND(E7&gt;=16,E7&lt;66),0.01,ROUNDDOWN((E7-16)/50,0))</f>
        <v>4</v>
      </c>
      <c r="G7" s="13">
        <f>IF(AND(F7&gt;=1,F7&lt;=6),E7-F7*50-16,IF(F7=0.01,E7-16,IF(F7=0,0,IF(F7&gt;6,E7-316,0))))</f>
        <v>14</v>
      </c>
    </row>
    <row r="8" spans="1:11" ht="16.5">
      <c r="A8" s="14" t="s">
        <v>36</v>
      </c>
      <c r="B8" s="4">
        <f>VLOOKUP(A8,联盟DKP榜单!A$1:C$598,3,FALSE)-40*COUNTIF(扣分!A:A,A8)</f>
        <v>106</v>
      </c>
      <c r="C8" s="24">
        <f>50*COUNTIF(帮战总榜!A$1:AB$150,$A8)+40*COUNTIF(掠夺!A$1:AB$150,$A8)</f>
        <v>80</v>
      </c>
      <c r="D8" s="24">
        <f>20*COUNTIF(YY统计!A$2:M$150,$A8)</f>
        <v>40</v>
      </c>
      <c r="E8" s="24">
        <f>SUM(B8:D8)</f>
        <v>226</v>
      </c>
      <c r="F8" s="24">
        <f>IF(AND(E8&gt;=16,E8&lt;66),0.01,ROUNDDOWN((E8-16)/50,0))</f>
        <v>4</v>
      </c>
      <c r="G8" s="13">
        <f>IF(AND(F8&gt;=1,F8&lt;=6),E8-F8*50-16,IF(F8=0.01,E8-16,IF(F8=0,0,IF(F8&gt;6,E8-316,0))))</f>
        <v>10</v>
      </c>
    </row>
    <row r="9" spans="1:11" ht="16.5">
      <c r="A9" s="14" t="s">
        <v>484</v>
      </c>
      <c r="B9" s="4">
        <f>VLOOKUP(A9,联盟DKP榜单!A$1:C$598,3,FALSE)-40*COUNTIF(扣分!A:A,A9)</f>
        <v>105</v>
      </c>
      <c r="C9" s="24">
        <f>50*COUNTIF(帮战总榜!A$1:AB$150,$A9)+40*COUNTIF(掠夺!A$1:AB$150,$A9)</f>
        <v>80</v>
      </c>
      <c r="D9" s="24">
        <f>20*COUNTIF(YY统计!A$2:M$150,$A9)</f>
        <v>80</v>
      </c>
      <c r="E9" s="24">
        <f>SUM(B9:D9)</f>
        <v>265</v>
      </c>
      <c r="F9" s="24">
        <f>IF(AND(E9&gt;=16,E9&lt;66),0.01,ROUNDDOWN((E9-16)/50,0))</f>
        <v>4</v>
      </c>
      <c r="G9" s="13">
        <f>IF(AND(F9&gt;=1,F9&lt;=6),E9-F9*50-16,IF(F9=0.01,E9-16,IF(F9=0,0,IF(F9&gt;6,E9-316,0))))</f>
        <v>49</v>
      </c>
    </row>
    <row r="10" spans="1:11" ht="16.5">
      <c r="A10" s="14" t="s">
        <v>45</v>
      </c>
      <c r="B10" s="4">
        <f>VLOOKUP(A10,联盟DKP榜单!A$1:C$598,3,FALSE)-40*COUNTIF(扣分!A:A,A10)</f>
        <v>105</v>
      </c>
      <c r="C10" s="24">
        <f>50*COUNTIF(帮战总榜!A$1:AB$150,$A10)+40*COUNTIF(掠夺!A$1:AB$150,$A10)</f>
        <v>80</v>
      </c>
      <c r="D10" s="24">
        <f>20*COUNTIF(YY统计!A$2:M$150,$A10)</f>
        <v>60</v>
      </c>
      <c r="E10" s="24">
        <f>SUM(B10:D10)</f>
        <v>245</v>
      </c>
      <c r="F10" s="24">
        <f>IF(AND(E10&gt;=16,E10&lt;66),0.01,ROUNDDOWN((E10-16)/50,0))</f>
        <v>4</v>
      </c>
      <c r="G10" s="13">
        <f>IF(AND(F10&gt;=1,F10&lt;=6),E10-F10*50-16,IF(F10=0.01,E10-16,IF(F10=0,0,IF(F10&gt;6,E10-316,0))))</f>
        <v>29</v>
      </c>
    </row>
    <row r="11" spans="1:11" ht="16.5">
      <c r="A11" s="14" t="s">
        <v>534</v>
      </c>
      <c r="B11" s="4">
        <f>VLOOKUP(A11,联盟DKP榜单!A$1:C$598,3,FALSE)-40*COUNTIF(扣分!A:A,A11)</f>
        <v>90</v>
      </c>
      <c r="C11" s="24">
        <f>50*COUNTIF(帮战总榜!A$1:AB$150,$A11)+40*COUNTIF(掠夺!A$1:AB$150,$A11)</f>
        <v>80</v>
      </c>
      <c r="D11" s="24">
        <f>20*COUNTIF(YY统计!A$2:M$150,$A11)</f>
        <v>80</v>
      </c>
      <c r="E11" s="24">
        <f>SUM(B11:D11)</f>
        <v>250</v>
      </c>
      <c r="F11" s="24">
        <f>IF(AND(E11&gt;=16,E11&lt;66),0.01,ROUNDDOWN((E11-16)/50,0))</f>
        <v>4</v>
      </c>
      <c r="G11" s="13">
        <f>IF(AND(F11&gt;=1,F11&lt;=6),E11-F11*50-16,IF(F11=0.01,E11-16,IF(F11=0,0,IF(F11&gt;6,E11-316,0))))</f>
        <v>34</v>
      </c>
    </row>
    <row r="12" spans="1:11" ht="16.5">
      <c r="A12" s="14" t="s">
        <v>489</v>
      </c>
      <c r="B12" s="4">
        <f>VLOOKUP(A12,联盟DKP榜单!A$1:C$598,3,FALSE)-40*COUNTIF(扣分!A:A,A12)</f>
        <v>79</v>
      </c>
      <c r="C12" s="24">
        <f>50*COUNTIF(帮战总榜!A$1:AB$150,$A12)+40*COUNTIF(掠夺!A$1:AB$150,$A12)</f>
        <v>80</v>
      </c>
      <c r="D12" s="24">
        <f>20*COUNTIF(YY统计!A$2:M$150,$A12)</f>
        <v>60</v>
      </c>
      <c r="E12" s="24">
        <f>SUM(B12:D12)</f>
        <v>219</v>
      </c>
      <c r="F12" s="24">
        <f>IF(AND(E12&gt;=16,E12&lt;66),0.01,ROUNDDOWN((E12-16)/50,0))</f>
        <v>4</v>
      </c>
      <c r="G12" s="13">
        <f>IF(AND(F12&gt;=1,F12&lt;=6),E12-F12*50-16,IF(F12=0.01,E12-16,IF(F12=0,0,IF(F12&gt;6,E12-316,0))))</f>
        <v>3</v>
      </c>
    </row>
    <row r="13" spans="1:11" ht="16.5">
      <c r="A13" s="14" t="s">
        <v>39</v>
      </c>
      <c r="B13" s="4">
        <f>VLOOKUP(A13,联盟DKP榜单!A$1:C$598,3,FALSE)-40*COUNTIF(扣分!A:A,A13)</f>
        <v>70</v>
      </c>
      <c r="C13" s="24">
        <f>50*COUNTIF(帮战总榜!A$1:AB$150,$A13)+40*COUNTIF(掠夺!A$1:AB$150,$A13)</f>
        <v>80</v>
      </c>
      <c r="D13" s="24">
        <f>20*COUNTIF(YY统计!A$2:M$150,$A13)</f>
        <v>80</v>
      </c>
      <c r="E13" s="24">
        <f>SUM(B13:D13)</f>
        <v>230</v>
      </c>
      <c r="F13" s="24">
        <f>IF(AND(E13&gt;=16,E13&lt;66),0.01,ROUNDDOWN((E13-16)/50,0))</f>
        <v>4</v>
      </c>
      <c r="G13" s="13">
        <f>IF(AND(F13&gt;=1,F13&lt;=6),E13-F13*50-16,IF(F13=0.01,E13-16,IF(F13=0,0,IF(F13&gt;6,E13-316,0))))</f>
        <v>14</v>
      </c>
    </row>
    <row r="14" spans="1:11" ht="16.5">
      <c r="A14" s="14" t="s">
        <v>34</v>
      </c>
      <c r="B14" s="4">
        <f>VLOOKUP(A14,联盟DKP榜单!A$1:C$598,3,FALSE)-40*COUNTIF(扣分!A:A,A14)</f>
        <v>70</v>
      </c>
      <c r="C14" s="24">
        <f>50*COUNTIF(帮战总榜!A$1:AB$150,$A14)+40*COUNTIF(掠夺!A$1:AB$150,$A14)</f>
        <v>80</v>
      </c>
      <c r="D14" s="24">
        <f>20*COUNTIF(YY统计!A$2:M$150,$A14)</f>
        <v>80</v>
      </c>
      <c r="E14" s="24">
        <f>SUM(B14:D14)</f>
        <v>230</v>
      </c>
      <c r="F14" s="24">
        <f>IF(AND(E14&gt;=16,E14&lt;66),0.01,ROUNDDOWN((E14-16)/50,0))</f>
        <v>4</v>
      </c>
      <c r="G14" s="13">
        <f>IF(AND(F14&gt;=1,F14&lt;=6),E14-F14*50-16,IF(F14=0.01,E14-16,IF(F14=0,0,IF(F14&gt;6,E14-316,0))))</f>
        <v>14</v>
      </c>
    </row>
    <row r="15" spans="1:11" ht="16.5">
      <c r="A15" s="14" t="s">
        <v>67</v>
      </c>
      <c r="B15" s="4">
        <f>VLOOKUP(A15,联盟DKP榜单!A$1:C$598,3,FALSE)-40*COUNTIF(扣分!A:A,A15)</f>
        <v>106</v>
      </c>
      <c r="C15" s="24">
        <f>50*COUNTIF(帮战总榜!A$1:AB$150,$A15)+40*COUNTIF(掠夺!A$1:AB$150,$A15)</f>
        <v>40</v>
      </c>
      <c r="D15" s="24">
        <f>20*COUNTIF(YY统计!A$2:M$150,$A15)</f>
        <v>40</v>
      </c>
      <c r="E15" s="24">
        <f>SUM(B15:D15)</f>
        <v>186</v>
      </c>
      <c r="F15" s="24">
        <f>IF(AND(E15&gt;=16,E15&lt;66),0.01,ROUNDDOWN((E15-16)/50,0))</f>
        <v>3</v>
      </c>
      <c r="G15" s="13">
        <f>IF(AND(F15&gt;=1,F15&lt;=6),E15-F15*50-16,IF(F15=0.01,E15-16,IF(F15=0,0,IF(F15&gt;6,E15-316,0))))</f>
        <v>20</v>
      </c>
    </row>
    <row r="16" spans="1:11" ht="16.5">
      <c r="A16" s="14" t="s">
        <v>551</v>
      </c>
      <c r="B16" s="4">
        <f>VLOOKUP(A16,联盟DKP榜单!A$1:C$598,3,FALSE)-40*COUNTIF(扣分!A:A,A16)</f>
        <v>105</v>
      </c>
      <c r="C16" s="24">
        <f>50*COUNTIF(帮战总榜!A$1:AB$150,$A16)+40*COUNTIF(掠夺!A$1:AB$150,$A16)</f>
        <v>40</v>
      </c>
      <c r="D16" s="24">
        <f>20*COUNTIF(YY统计!A$2:M$150,$A16)</f>
        <v>40</v>
      </c>
      <c r="E16" s="24">
        <f>SUM(B16:D16)</f>
        <v>185</v>
      </c>
      <c r="F16" s="24">
        <f>IF(AND(E16&gt;=16,E16&lt;66),0.01,ROUNDDOWN((E16-16)/50,0))</f>
        <v>3</v>
      </c>
      <c r="G16" s="13">
        <f>IF(AND(F16&gt;=1,F16&lt;=6),E16-F16*50-16,IF(F16=0.01,E16-16,IF(F16=0,0,IF(F16&gt;6,E16-316,0))))</f>
        <v>19</v>
      </c>
    </row>
    <row r="17" spans="1:7" ht="16.5">
      <c r="A17" s="14" t="s">
        <v>44</v>
      </c>
      <c r="B17" s="4">
        <f>VLOOKUP(A17,联盟DKP榜单!A$1:C$598,3,FALSE)-40*COUNTIF(扣分!A:A,A17)</f>
        <v>105</v>
      </c>
      <c r="C17" s="24">
        <f>50*COUNTIF(帮战总榜!A$1:AB$150,$A17)+40*COUNTIF(掠夺!A$1:AB$150,$A17)</f>
        <v>40</v>
      </c>
      <c r="D17" s="24">
        <f>20*COUNTIF(YY统计!A$2:M$150,$A17)</f>
        <v>40</v>
      </c>
      <c r="E17" s="24">
        <f>SUM(B17:D17)</f>
        <v>185</v>
      </c>
      <c r="F17" s="24">
        <f>IF(AND(E17&gt;=16,E17&lt;66),0.01,ROUNDDOWN((E17-16)/50,0))</f>
        <v>3</v>
      </c>
      <c r="G17" s="13">
        <f>IF(AND(F17&gt;=1,F17&lt;=6),E17-F17*50-16,IF(F17=0.01,E17-16,IF(F17=0,0,IF(F17&gt;6,E17-316,0))))</f>
        <v>19</v>
      </c>
    </row>
    <row r="18" spans="1:7" ht="16.5">
      <c r="A18" s="14" t="s">
        <v>30</v>
      </c>
      <c r="B18" s="4">
        <f>VLOOKUP(A18,联盟DKP榜单!A$1:C$598,3,FALSE)-40*COUNTIF(扣分!A:A,A18)</f>
        <v>101</v>
      </c>
      <c r="C18" s="24">
        <f>50*COUNTIF(帮战总榜!A$1:AB$150,$A18)+40*COUNTIF(掠夺!A$1:AB$150,$A18)</f>
        <v>40</v>
      </c>
      <c r="D18" s="24">
        <f>20*COUNTIF(YY统计!A$2:M$150,$A18)</f>
        <v>40</v>
      </c>
      <c r="E18" s="24">
        <f>SUM(B18:D18)</f>
        <v>181</v>
      </c>
      <c r="F18" s="24">
        <f>IF(AND(E18&gt;=16,E18&lt;66),0.01,ROUNDDOWN((E18-16)/50,0))</f>
        <v>3</v>
      </c>
      <c r="G18" s="13">
        <f>IF(AND(F18&gt;=1,F18&lt;=6),E18-F18*50-16,IF(F18=0.01,E18-16,IF(F18=0,0,IF(F18&gt;6,E18-316,0))))</f>
        <v>15</v>
      </c>
    </row>
    <row r="19" spans="1:7" ht="16.5">
      <c r="A19" s="14" t="s">
        <v>514</v>
      </c>
      <c r="B19" s="4">
        <f>VLOOKUP(A19,联盟DKP榜单!A$1:C$598,3,FALSE)-40*COUNTIF(扣分!A:A,A19)</f>
        <v>90</v>
      </c>
      <c r="C19" s="24">
        <f>50*COUNTIF(帮战总榜!A$1:AB$150,$A19)+40*COUNTIF(掠夺!A$1:AB$150,$A19)</f>
        <v>80</v>
      </c>
      <c r="D19" s="24">
        <f>20*COUNTIF(YY统计!A$2:M$150,$A19)</f>
        <v>40</v>
      </c>
      <c r="E19" s="24">
        <f>SUM(B19:D19)</f>
        <v>210</v>
      </c>
      <c r="F19" s="24">
        <f>IF(AND(E19&gt;=16,E19&lt;66),0.01,ROUNDDOWN((E19-16)/50,0))</f>
        <v>3</v>
      </c>
      <c r="G19" s="13">
        <f>IF(AND(F19&gt;=1,F19&lt;=6),E19-F19*50-16,IF(F19=0.01,E19-16,IF(F19=0,0,IF(F19&gt;6,E19-316,0))))</f>
        <v>44</v>
      </c>
    </row>
    <row r="20" spans="1:7" ht="16.5">
      <c r="A20" s="14" t="s">
        <v>19</v>
      </c>
      <c r="B20" s="4">
        <f>VLOOKUP(A20,联盟DKP榜单!A$1:C$598,3,FALSE)-40*COUNTIF(扣分!A:A,A20)</f>
        <v>89</v>
      </c>
      <c r="C20" s="24">
        <f>50*COUNTIF(帮战总榜!A$1:AB$150,$A20)+40*COUNTIF(掠夺!A$1:AB$150,$A20)</f>
        <v>40</v>
      </c>
      <c r="D20" s="24">
        <f>20*COUNTIF(YY统计!A$2:M$150,$A20)</f>
        <v>40</v>
      </c>
      <c r="E20" s="24">
        <f>SUM(B20:D20)</f>
        <v>169</v>
      </c>
      <c r="F20" s="24">
        <f>IF(AND(E20&gt;=16,E20&lt;66),0.01,ROUNDDOWN((E20-16)/50,0))</f>
        <v>3</v>
      </c>
      <c r="G20" s="13">
        <f>IF(AND(F20&gt;=1,F20&lt;=6),E20-F20*50-16,IF(F20=0.01,E20-16,IF(F20=0,0,IF(F20&gt;6,E20-316,0))))</f>
        <v>3</v>
      </c>
    </row>
    <row r="21" spans="1:7" ht="16.5">
      <c r="A21" s="14" t="s">
        <v>38</v>
      </c>
      <c r="B21" s="4">
        <f>VLOOKUP(A21,联盟DKP榜单!A$1:C$598,3,FALSE)-40*COUNTIF(扣分!A:A,A21)</f>
        <v>70</v>
      </c>
      <c r="C21" s="24">
        <f>50*COUNTIF(帮战总榜!A$1:AB$150,$A21)+40*COUNTIF(掠夺!A$1:AB$150,$A21)</f>
        <v>80</v>
      </c>
      <c r="D21" s="24">
        <f>20*COUNTIF(YY统计!A$2:M$150,$A21)</f>
        <v>40</v>
      </c>
      <c r="E21" s="24">
        <f>SUM(B21:D21)</f>
        <v>190</v>
      </c>
      <c r="F21" s="24">
        <f>IF(AND(E21&gt;=16,E21&lt;66),0.01,ROUNDDOWN((E21-16)/50,0))</f>
        <v>3</v>
      </c>
      <c r="G21" s="13">
        <f>IF(AND(F21&gt;=1,F21&lt;=6),E21-F21*50-16,IF(F21=0.01,E21-16,IF(F21=0,0,IF(F21&gt;6,E21-316,0))))</f>
        <v>24</v>
      </c>
    </row>
    <row r="22" spans="1:7" ht="16.5">
      <c r="A22" s="14" t="s">
        <v>41</v>
      </c>
      <c r="B22" s="4">
        <f>VLOOKUP(A22,联盟DKP榜单!A$1:C$598,3,FALSE)-40*COUNTIF(扣分!A:A,A22)</f>
        <v>70</v>
      </c>
      <c r="C22" s="24">
        <f>50*COUNTIF(帮战总榜!A$1:AB$150,$A22)+40*COUNTIF(掠夺!A$1:AB$150,$A22)</f>
        <v>80</v>
      </c>
      <c r="D22" s="24">
        <f>20*COUNTIF(YY统计!A$2:M$150,$A22)</f>
        <v>40</v>
      </c>
      <c r="E22" s="24">
        <f>SUM(B22:D22)</f>
        <v>190</v>
      </c>
      <c r="F22" s="24">
        <f>IF(AND(E22&gt;=16,E22&lt;66),0.01,ROUNDDOWN((E22-16)/50,0))</f>
        <v>3</v>
      </c>
      <c r="G22" s="13">
        <f>IF(AND(F22&gt;=1,F22&lt;=6),E22-F22*50-16,IF(F22=0.01,E22-16,IF(F22=0,0,IF(F22&gt;6,E22-316,0))))</f>
        <v>24</v>
      </c>
    </row>
    <row r="23" spans="1:7" ht="16.5">
      <c r="A23" s="14" t="s">
        <v>537</v>
      </c>
      <c r="B23" s="4">
        <f>VLOOKUP(A23,联盟DKP榜单!A$1:C$598,3,FALSE)-40*COUNTIF(扣分!A:A,A23)</f>
        <v>70</v>
      </c>
      <c r="C23" s="24">
        <f>50*COUNTIF(帮战总榜!A$1:AB$150,$A23)+40*COUNTIF(掠夺!A$1:AB$150,$A23)</f>
        <v>80</v>
      </c>
      <c r="D23" s="24">
        <f>20*COUNTIF(YY统计!A$2:M$150,$A23)</f>
        <v>60</v>
      </c>
      <c r="E23" s="24">
        <f>SUM(B23:D23)</f>
        <v>210</v>
      </c>
      <c r="F23" s="24">
        <f>IF(AND(E23&gt;=16,E23&lt;66),0.01,ROUNDDOWN((E23-16)/50,0))</f>
        <v>3</v>
      </c>
      <c r="G23" s="13">
        <f>IF(AND(F23&gt;=1,F23&lt;=6),E23-F23*50-16,IF(F23=0.01,E23-16,IF(F23=0,0,IF(F23&gt;6,E23-316,0))))</f>
        <v>44</v>
      </c>
    </row>
    <row r="24" spans="1:7" ht="16.5">
      <c r="A24" s="14" t="s">
        <v>35</v>
      </c>
      <c r="B24" s="4">
        <f>VLOOKUP(A24,联盟DKP榜单!A$1:C$598,3,FALSE)-40*COUNTIF(扣分!A:A,A24)</f>
        <v>70</v>
      </c>
      <c r="C24" s="24">
        <f>50*COUNTIF(帮战总榜!A$1:AB$150,$A24)+40*COUNTIF(掠夺!A$1:AB$150,$A24)</f>
        <v>80</v>
      </c>
      <c r="D24" s="24">
        <f>20*COUNTIF(YY统计!A$2:M$150,$A24)</f>
        <v>60</v>
      </c>
      <c r="E24" s="24">
        <f>SUM(B24:D24)</f>
        <v>210</v>
      </c>
      <c r="F24" s="24">
        <f>IF(AND(E24&gt;=16,E24&lt;66),0.01,ROUNDDOWN((E24-16)/50,0))</f>
        <v>3</v>
      </c>
      <c r="G24" s="13">
        <f>IF(AND(F24&gt;=1,F24&lt;=6),E24-F24*50-16,IF(F24=0.01,E24-16,IF(F24=0,0,IF(F24&gt;6,E24-316,0))))</f>
        <v>44</v>
      </c>
    </row>
    <row r="25" spans="1:7" ht="16.5">
      <c r="A25" s="14" t="s">
        <v>487</v>
      </c>
      <c r="B25" s="4">
        <f>VLOOKUP(A25,联盟DKP榜单!A$1:C$598,3,FALSE)-40*COUNTIF(扣分!A:A,A25)</f>
        <v>70</v>
      </c>
      <c r="C25" s="24">
        <f>50*COUNTIF(帮战总榜!A$1:AB$150,$A25)+40*COUNTIF(掠夺!A$1:AB$150,$A25)</f>
        <v>80</v>
      </c>
      <c r="D25" s="24">
        <f>20*COUNTIF(YY统计!A$2:M$150,$A25)</f>
        <v>40</v>
      </c>
      <c r="E25" s="24">
        <f>SUM(B25:D25)</f>
        <v>190</v>
      </c>
      <c r="F25" s="24">
        <f>IF(AND(E25&gt;=16,E25&lt;66),0.01,ROUNDDOWN((E25-16)/50,0))</f>
        <v>3</v>
      </c>
      <c r="G25" s="13">
        <f>IF(AND(F25&gt;=1,F25&lt;=6),E25-F25*50-16,IF(F25=0.01,E25-16,IF(F25=0,0,IF(F25&gt;6,E25-316,0))))</f>
        <v>24</v>
      </c>
    </row>
    <row r="26" spans="1:7" ht="16.5">
      <c r="A26" s="14" t="s">
        <v>40</v>
      </c>
      <c r="B26" s="4">
        <f>VLOOKUP(A26,联盟DKP榜单!A$1:C$598,3,FALSE)-40*COUNTIF(扣分!A:A,A26)</f>
        <v>105</v>
      </c>
      <c r="C26" s="24">
        <f>50*COUNTIF(帮战总榜!A$1:AB$150,$A26)+40*COUNTIF(掠夺!A$1:AB$150,$A26)</f>
        <v>0</v>
      </c>
      <c r="D26" s="24">
        <f>20*COUNTIF(YY统计!A$2:M$150,$A26)</f>
        <v>20</v>
      </c>
      <c r="E26" s="24">
        <f>SUM(B26:D26)</f>
        <v>125</v>
      </c>
      <c r="F26" s="24">
        <f>IF(AND(E26&gt;=16,E26&lt;66),0.01,ROUNDDOWN((E26-16)/50,0))</f>
        <v>2</v>
      </c>
      <c r="G26" s="13">
        <f>IF(AND(F26&gt;=1,F26&lt;=6),E26-F26*50-16,IF(F26=0.01,E26-16,IF(F26=0,0,IF(F26&gt;6,E26-316,0))))</f>
        <v>9</v>
      </c>
    </row>
    <row r="27" spans="1:7" ht="16.5">
      <c r="A27" s="14" t="s">
        <v>51</v>
      </c>
      <c r="B27" s="4">
        <f>VLOOKUP(A27,联盟DKP榜单!A$1:C$598,3,FALSE)-40*COUNTIF(扣分!A:A,A27)</f>
        <v>71</v>
      </c>
      <c r="C27" s="24">
        <f>50*COUNTIF(帮战总榜!A$1:AB$150,$A27)+40*COUNTIF(掠夺!A$1:AB$150,$A27)</f>
        <v>40</v>
      </c>
      <c r="D27" s="24">
        <f>20*COUNTIF(YY统计!A$2:M$150,$A27)</f>
        <v>40</v>
      </c>
      <c r="E27" s="24">
        <f>SUM(B27:D27)</f>
        <v>151</v>
      </c>
      <c r="F27" s="24">
        <f>IF(AND(E27&gt;=16,E27&lt;66),0.01,ROUNDDOWN((E27-16)/50,0))</f>
        <v>2</v>
      </c>
      <c r="G27" s="13">
        <f>IF(AND(F27&gt;=1,F27&lt;=6),E27-F27*50-16,IF(F27=0.01,E27-16,IF(F27=0,0,IF(F27&gt;6,E27-316,0))))</f>
        <v>35</v>
      </c>
    </row>
    <row r="28" spans="1:7" ht="16.5">
      <c r="A28" s="14" t="s">
        <v>70</v>
      </c>
      <c r="B28" s="4">
        <f>VLOOKUP(A28,联盟DKP榜单!A$1:C$598,3,FALSE)-40*COUNTIF(扣分!A:A,A28)</f>
        <v>70</v>
      </c>
      <c r="C28" s="24">
        <f>50*COUNTIF(帮战总榜!A$1:AB$150,$A28)+40*COUNTIF(掠夺!A$1:AB$150,$A28)</f>
        <v>40</v>
      </c>
      <c r="D28" s="24">
        <f>20*COUNTIF(YY统计!A$2:M$150,$A28)</f>
        <v>40</v>
      </c>
      <c r="E28" s="24">
        <f>SUM(B28:D28)</f>
        <v>150</v>
      </c>
      <c r="F28" s="24">
        <f>IF(AND(E28&gt;=16,E28&lt;66),0.01,ROUNDDOWN((E28-16)/50,0))</f>
        <v>2</v>
      </c>
      <c r="G28" s="13">
        <f>IF(AND(F28&gt;=1,F28&lt;=6),E28-F28*50-16,IF(F28=0.01,E28-16,IF(F28=0,0,IF(F28&gt;6,E28-316,0))))</f>
        <v>34</v>
      </c>
    </row>
    <row r="29" spans="1:7" ht="16.5">
      <c r="A29" s="14" t="s">
        <v>535</v>
      </c>
      <c r="B29" s="4">
        <f>VLOOKUP(A29,联盟DKP榜单!A$1:C$598,3,FALSE)-40*COUNTIF(扣分!A:A,A29)</f>
        <v>20</v>
      </c>
      <c r="C29" s="24">
        <f>50*COUNTIF(帮战总榜!A$1:AB$150,$A29)+40*COUNTIF(掠夺!A$1:AB$150,$A29)</f>
        <v>80</v>
      </c>
      <c r="D29" s="24">
        <f>20*COUNTIF(YY统计!A$2:M$150,$A29)</f>
        <v>60</v>
      </c>
      <c r="E29" s="24">
        <f>SUM(B29:D29)</f>
        <v>160</v>
      </c>
      <c r="F29" s="24">
        <f>IF(AND(E29&gt;=16,E29&lt;66),0.01,ROUNDDOWN((E29-16)/50,0))</f>
        <v>2</v>
      </c>
      <c r="G29" s="13">
        <f>IF(AND(F29&gt;=1,F29&lt;=6),E29-F29*50-16,IF(F29=0.01,E29-16,IF(F29=0,0,IF(F29&gt;6,E29-316,0))))</f>
        <v>44</v>
      </c>
    </row>
    <row r="30" spans="1:7" ht="16.5">
      <c r="A30" s="14" t="s">
        <v>557</v>
      </c>
      <c r="B30" s="4">
        <f>VLOOKUP(A30,联盟DKP榜单!A$1:C$598,3,FALSE)-40*COUNTIF(扣分!A:A,A30)</f>
        <v>105</v>
      </c>
      <c r="C30" s="24">
        <f>50*COUNTIF(帮战总榜!A$1:AB$150,$A30)+40*COUNTIF(掠夺!A$1:AB$150,$A30)</f>
        <v>0</v>
      </c>
      <c r="D30" s="24">
        <f>20*COUNTIF(YY统计!A$2:M$150,$A30)</f>
        <v>0</v>
      </c>
      <c r="E30" s="24">
        <f>SUM(B30:D30)</f>
        <v>105</v>
      </c>
      <c r="F30" s="24">
        <f>IF(AND(E30&gt;=16,E30&lt;66),0.01,ROUNDDOWN((E30-16)/50,0))</f>
        <v>1</v>
      </c>
      <c r="G30" s="13">
        <f>IF(AND(F30&gt;=1,F30&lt;=6),E30-F30*50-16,IF(F30=0.01,E30-16,IF(F30=0,0,IF(F30&gt;6,E30-316,0))))</f>
        <v>39</v>
      </c>
    </row>
    <row r="31" spans="1:7" ht="16.5">
      <c r="A31" s="14" t="s">
        <v>53</v>
      </c>
      <c r="B31" s="4">
        <f>VLOOKUP(A31,联盟DKP榜单!A$1:C$598,3,FALSE)-40*COUNTIF(扣分!A:A,A31)</f>
        <v>105</v>
      </c>
      <c r="C31" s="24">
        <f>50*COUNTIF(帮战总榜!A$1:AB$150,$A31)+40*COUNTIF(掠夺!A$1:AB$150,$A31)</f>
        <v>0</v>
      </c>
      <c r="D31" s="24">
        <f>20*COUNTIF(YY统计!A$2:M$150,$A31)</f>
        <v>0</v>
      </c>
      <c r="E31" s="24">
        <f>SUM(B31:D31)</f>
        <v>105</v>
      </c>
      <c r="F31" s="24">
        <f>IF(AND(E31&gt;=16,E31&lt;66),0.01,ROUNDDOWN((E31-16)/50,0))</f>
        <v>1</v>
      </c>
      <c r="G31" s="13">
        <f>IF(AND(F31&gt;=1,F31&lt;=6),E31-F31*50-16,IF(F31=0.01,E31-16,IF(F31=0,0,IF(F31&gt;6,E31-316,0))))</f>
        <v>39</v>
      </c>
    </row>
    <row r="32" spans="1:7" ht="16.5">
      <c r="A32" s="14" t="s">
        <v>563</v>
      </c>
      <c r="B32" s="4">
        <f>VLOOKUP(A32,联盟DKP榜单!A$1:C$598,3,FALSE)-40*COUNTIF(扣分!A:A,A32)</f>
        <v>70</v>
      </c>
      <c r="C32" s="24">
        <f>50*COUNTIF(帮战总榜!A$1:AB$150,$A32)+40*COUNTIF(掠夺!A$1:AB$150,$A32)</f>
        <v>0</v>
      </c>
      <c r="D32" s="24">
        <f>20*COUNTIF(YY统计!A$2:M$150,$A32)</f>
        <v>0</v>
      </c>
      <c r="E32" s="24">
        <f>SUM(B32:D32)</f>
        <v>70</v>
      </c>
      <c r="F32" s="24">
        <f>IF(AND(E32&gt;=16,E32&lt;66),0.01,ROUNDDOWN((E32-16)/50,0))</f>
        <v>1</v>
      </c>
      <c r="G32" s="13">
        <f>IF(AND(F32&gt;=1,F32&lt;=6),E32-F32*50-16,IF(F32=0.01,E32-16,IF(F32=0,0,IF(F32&gt;6,E32-316,0))))</f>
        <v>4</v>
      </c>
    </row>
    <row r="33" spans="1:7" ht="16.5">
      <c r="A33" s="14" t="s">
        <v>126</v>
      </c>
      <c r="B33" s="4">
        <f>VLOOKUP(A33,联盟DKP榜单!A$1:C$598,3,FALSE)-40*COUNTIF(扣分!A:A,A33)</f>
        <v>70</v>
      </c>
      <c r="C33" s="24">
        <f>50*COUNTIF(帮战总榜!A$1:AB$150,$A33)+40*COUNTIF(掠夺!A$1:AB$150,$A33)</f>
        <v>0</v>
      </c>
      <c r="D33" s="24">
        <f>20*COUNTIF(YY统计!A$2:M$150,$A33)</f>
        <v>0</v>
      </c>
      <c r="E33" s="24">
        <f>SUM(B33:D33)</f>
        <v>70</v>
      </c>
      <c r="F33" s="24">
        <f>IF(AND(E33&gt;=16,E33&lt;66),0.01,ROUNDDOWN((E33-16)/50,0))</f>
        <v>1</v>
      </c>
      <c r="G33" s="13">
        <f>IF(AND(F33&gt;=1,F33&lt;=6),E33-F33*50-16,IF(F33=0.01,E33-16,IF(F33=0,0,IF(F33&gt;6,E33-316,0))))</f>
        <v>4</v>
      </c>
    </row>
    <row r="34" spans="1:7" ht="16.5">
      <c r="A34" s="14" t="s">
        <v>124</v>
      </c>
      <c r="B34" s="4">
        <f>VLOOKUP(A34,联盟DKP榜单!A$1:C$598,3,FALSE)-40*COUNTIF(扣分!A:A,A34)</f>
        <v>70</v>
      </c>
      <c r="C34" s="24">
        <f>50*COUNTIF(帮战总榜!A$1:AB$150,$A34)+40*COUNTIF(掠夺!A$1:AB$150,$A34)</f>
        <v>0</v>
      </c>
      <c r="D34" s="24">
        <f>20*COUNTIF(YY统计!A$2:M$150,$A34)</f>
        <v>0</v>
      </c>
      <c r="E34" s="24">
        <f>SUM(B34:D34)</f>
        <v>70</v>
      </c>
      <c r="F34" s="24">
        <f>IF(AND(E34&gt;=16,E34&lt;66),0.01,ROUNDDOWN((E34-16)/50,0))</f>
        <v>1</v>
      </c>
      <c r="G34" s="13">
        <f>IF(AND(F34&gt;=1,F34&lt;=6),E34-F34*50-16,IF(F34=0.01,E34-16,IF(F34=0,0,IF(F34&gt;6,E34-316,0))))</f>
        <v>4</v>
      </c>
    </row>
    <row r="35" spans="1:7" ht="16.5">
      <c r="A35" s="14" t="s">
        <v>52</v>
      </c>
      <c r="B35" s="4">
        <f>VLOOKUP(A35,联盟DKP榜单!A$1:C$598,3,FALSE)-40*COUNTIF(扣分!A:A,A35)</f>
        <v>70</v>
      </c>
      <c r="C35" s="24">
        <f>50*COUNTIF(帮战总榜!A$1:AB$150,$A35)+40*COUNTIF(掠夺!A$1:AB$150,$A35)</f>
        <v>0</v>
      </c>
      <c r="D35" s="24">
        <f>20*COUNTIF(YY统计!A$2:M$150,$A35)</f>
        <v>0</v>
      </c>
      <c r="E35" s="24">
        <f>SUM(B35:D35)</f>
        <v>70</v>
      </c>
      <c r="F35" s="24">
        <f>IF(AND(E35&gt;=16,E35&lt;66),0.01,ROUNDDOWN((E35-16)/50,0))</f>
        <v>1</v>
      </c>
      <c r="G35" s="13">
        <f>IF(AND(F35&gt;=1,F35&lt;=6),E35-F35*50-16,IF(F35=0.01,E35-16,IF(F35=0,0,IF(F35&gt;6,E35-316,0))))</f>
        <v>4</v>
      </c>
    </row>
    <row r="36" spans="1:7" ht="16.5">
      <c r="A36" s="14" t="s">
        <v>566</v>
      </c>
      <c r="B36" s="4">
        <f>VLOOKUP(A36,联盟DKP榜单!A$1:C$598,3,FALSE)-40*COUNTIF(扣分!A:A,A36)</f>
        <v>70</v>
      </c>
      <c r="C36" s="24">
        <f>50*COUNTIF(帮战总榜!A$1:AB$150,$A36)+40*COUNTIF(掠夺!A$1:AB$150,$A36)</f>
        <v>0</v>
      </c>
      <c r="D36" s="24">
        <f>20*COUNTIF(YY统计!A$2:M$150,$A36)</f>
        <v>0</v>
      </c>
      <c r="E36" s="24">
        <f>SUM(B36:D36)</f>
        <v>70</v>
      </c>
      <c r="F36" s="24">
        <f>IF(AND(E36&gt;=16,E36&lt;66),0.01,ROUNDDOWN((E36-16)/50,0))</f>
        <v>1</v>
      </c>
      <c r="G36" s="13">
        <f>IF(AND(F36&gt;=1,F36&lt;=6),E36-F36*50-16,IF(F36=0.01,E36-16,IF(F36=0,0,IF(F36&gt;6,E36-316,0))))</f>
        <v>4</v>
      </c>
    </row>
    <row r="37" spans="1:7" ht="16.5">
      <c r="A37" s="14" t="s">
        <v>133</v>
      </c>
      <c r="B37" s="4">
        <f>VLOOKUP(A37,联盟DKP榜单!A$1:C$598,3,FALSE)-40*COUNTIF(扣分!A:A,A37)</f>
        <v>70</v>
      </c>
      <c r="C37" s="24">
        <f>50*COUNTIF(帮战总榜!A$1:AB$150,$A37)+40*COUNTIF(掠夺!A$1:AB$150,$A37)</f>
        <v>0</v>
      </c>
      <c r="D37" s="24">
        <f>20*COUNTIF(YY统计!A$2:M$150,$A37)</f>
        <v>0</v>
      </c>
      <c r="E37" s="24">
        <f>SUM(B37:D37)</f>
        <v>70</v>
      </c>
      <c r="F37" s="24">
        <f>IF(AND(E37&gt;=16,E37&lt;66),0.01,ROUNDDOWN((E37-16)/50,0))</f>
        <v>1</v>
      </c>
      <c r="G37" s="13">
        <f>IF(AND(F37&gt;=1,F37&lt;=6),E37-F37*50-16,IF(F37=0.01,E37-16,IF(F37=0,0,IF(F37&gt;6,E37-316,0))))</f>
        <v>4</v>
      </c>
    </row>
    <row r="38" spans="1:7" ht="16.5">
      <c r="A38" s="14" t="s">
        <v>49</v>
      </c>
      <c r="B38" s="4">
        <f>VLOOKUP(A38,联盟DKP榜单!A$1:C$598,3,FALSE)-40*COUNTIF(扣分!A:A,A38)</f>
        <v>38</v>
      </c>
      <c r="C38" s="24">
        <f>50*COUNTIF(帮战总榜!A$1:AB$150,$A38)+40*COUNTIF(掠夺!A$1:AB$150,$A38)</f>
        <v>0</v>
      </c>
      <c r="D38" s="24">
        <f>20*COUNTIF(YY统计!A$2:M$150,$A38)</f>
        <v>0</v>
      </c>
      <c r="E38" s="24">
        <f>SUM(B38:D38)</f>
        <v>38</v>
      </c>
      <c r="F38" s="24">
        <f>IF(AND(E38&gt;=16,E38&lt;66),0.01,ROUNDDOWN((E38-16)/50,0))</f>
        <v>0.01</v>
      </c>
      <c r="G38" s="13">
        <f>IF(AND(F38&gt;=1,F38&lt;=6),E38-F38*50-16,IF(F38=0.01,E38-16,IF(F38=0,0,IF(F38&gt;6,E38-316,0))))</f>
        <v>22</v>
      </c>
    </row>
    <row r="39" spans="1:7" ht="16.5">
      <c r="A39" s="14" t="s">
        <v>573</v>
      </c>
      <c r="B39" s="4">
        <f>VLOOKUP(A39,联盟DKP榜单!A$1:C$598,3,FALSE)-40*COUNTIF(扣分!A:A,A39)</f>
        <v>35</v>
      </c>
      <c r="C39" s="24">
        <f>50*COUNTIF(帮战总榜!A$1:AB$150,$A39)+40*COUNTIF(掠夺!A$1:AB$150,$A39)</f>
        <v>0</v>
      </c>
      <c r="D39" s="24">
        <f>20*COUNTIF(YY统计!A$2:M$150,$A39)</f>
        <v>0</v>
      </c>
      <c r="E39" s="24">
        <f>SUM(B39:D39)</f>
        <v>35</v>
      </c>
      <c r="F39" s="24">
        <f>IF(AND(E39&gt;=16,E39&lt;66),0.01,ROUNDDOWN((E39-16)/50,0))</f>
        <v>0.01</v>
      </c>
      <c r="G39" s="13">
        <f>IF(AND(F39&gt;=1,F39&lt;=6),E39-F39*50-16,IF(F39=0.01,E39-16,IF(F39=0,0,IF(F39&gt;6,E39-316,0))))</f>
        <v>19</v>
      </c>
    </row>
    <row r="40" spans="1:7" ht="16.5">
      <c r="A40" s="14" t="s">
        <v>92</v>
      </c>
      <c r="B40" s="4">
        <f>VLOOKUP(A40,联盟DKP榜单!A$1:C$598,3,FALSE)-40*COUNTIF(扣分!A:A,A40)</f>
        <v>35</v>
      </c>
      <c r="C40" s="24">
        <f>50*COUNTIF(帮战总榜!A$1:AB$150,$A40)+40*COUNTIF(掠夺!A$1:AB$150,$A40)</f>
        <v>0</v>
      </c>
      <c r="D40" s="24">
        <f>20*COUNTIF(YY统计!A$2:M$150,$A40)</f>
        <v>0</v>
      </c>
      <c r="E40" s="24">
        <f>SUM(B40:D40)</f>
        <v>35</v>
      </c>
      <c r="F40" s="24">
        <f>IF(AND(E40&gt;=16,E40&lt;66),0.01,ROUNDDOWN((E40-16)/50,0))</f>
        <v>0.01</v>
      </c>
      <c r="G40" s="13">
        <f>IF(AND(F40&gt;=1,F40&lt;=6),E40-F40*50-16,IF(F40=0.01,E40-16,IF(F40=0,0,IF(F40&gt;6,E40-316,0))))</f>
        <v>19</v>
      </c>
    </row>
    <row r="41" spans="1:7" ht="16.5">
      <c r="A41" s="14" t="s">
        <v>85</v>
      </c>
      <c r="B41" s="4">
        <f>VLOOKUP(A41,联盟DKP榜单!A$1:C$598,3,FALSE)-40*COUNTIF(扣分!A:A,A41)</f>
        <v>0</v>
      </c>
      <c r="C41" s="24">
        <f>50*COUNTIF(帮战总榜!A$1:AB$150,$A41)+40*COUNTIF(掠夺!A$1:AB$150,$A41)</f>
        <v>40</v>
      </c>
      <c r="D41" s="24">
        <f>20*COUNTIF(YY统计!A$2:M$150,$A41)</f>
        <v>0</v>
      </c>
      <c r="E41" s="24">
        <f>SUM(B41:D41)</f>
        <v>40</v>
      </c>
      <c r="F41" s="24">
        <f>IF(AND(E41&gt;=16,E41&lt;66),0.01,ROUNDDOWN((E41-16)/50,0))</f>
        <v>0.01</v>
      </c>
      <c r="G41" s="13">
        <f>IF(AND(F41&gt;=1,F41&lt;=6),E41-F41*50-16,IF(F41=0.01,E41-16,IF(F41=0,0,IF(F41&gt;6,E41-316,0))))</f>
        <v>24</v>
      </c>
    </row>
    <row r="42" spans="1:7" ht="16.5">
      <c r="A42" s="14" t="s">
        <v>122</v>
      </c>
      <c r="B42" s="4">
        <f>VLOOKUP(A42,联盟DKP榜单!A$1:C$598,3,FALSE)-40*COUNTIF(扣分!A:A,A42)</f>
        <v>0</v>
      </c>
      <c r="C42" s="24">
        <f>50*COUNTIF(帮战总榜!A$1:AB$150,$A42)+40*COUNTIF(掠夺!A$1:AB$150,$A42)</f>
        <v>40</v>
      </c>
      <c r="D42" s="24">
        <f>20*COUNTIF(YY统计!A$2:M$150,$A42)</f>
        <v>0</v>
      </c>
      <c r="E42" s="24">
        <f>SUM(B42:D42)</f>
        <v>40</v>
      </c>
      <c r="F42" s="24">
        <f>IF(AND(E42&gt;=16,E42&lt;66),0.01,ROUNDDOWN((E42-16)/50,0))</f>
        <v>0.01</v>
      </c>
      <c r="G42" s="13">
        <f>IF(AND(F42&gt;=1,F42&lt;=6),E42-F42*50-16,IF(F42=0.01,E42-16,IF(F42=0,0,IF(F42&gt;6,E42-316,0))))</f>
        <v>24</v>
      </c>
    </row>
    <row r="43" spans="1:7" ht="16.5">
      <c r="A43" s="14" t="s">
        <v>598</v>
      </c>
      <c r="B43" s="4">
        <f>VLOOKUP(A43,联盟DKP榜单!A$1:C$598,3,FALSE)-40*COUNTIF(扣分!A:A,A43)</f>
        <v>0</v>
      </c>
      <c r="C43" s="24">
        <f>50*COUNTIF(帮战总榜!A$1:AB$150,$A43)+40*COUNTIF(掠夺!A$1:AB$150,$A43)</f>
        <v>0</v>
      </c>
      <c r="D43" s="24">
        <f>20*COUNTIF(YY统计!A$2:M$150,$A43)</f>
        <v>20</v>
      </c>
      <c r="E43" s="24">
        <f>SUM(B43:D43)</f>
        <v>20</v>
      </c>
      <c r="F43" s="24">
        <f>IF(AND(E43&gt;=16,E43&lt;66),0.01,ROUNDDOWN((E43-16)/50,0))</f>
        <v>0.01</v>
      </c>
      <c r="G43" s="13">
        <f>IF(AND(F43&gt;=1,F43&lt;=6),E43-F43*50-16,IF(F43=0.01,E43-16,IF(F43=0,0,IF(F43&gt;6,E43-316,0))))</f>
        <v>4</v>
      </c>
    </row>
    <row r="44" spans="1:7" ht="16.5">
      <c r="A44" s="14" t="s">
        <v>37</v>
      </c>
      <c r="B44" s="4">
        <f>VLOOKUP(A44,联盟DKP榜单!A$1:C$598,3,FALSE)-40*COUNTIF(扣分!A:A,A44)</f>
        <v>0</v>
      </c>
      <c r="C44" s="24">
        <f>50*COUNTIF(帮战总榜!A$1:AB$150,$A44)+40*COUNTIF(掠夺!A$1:AB$150,$A44)</f>
        <v>40</v>
      </c>
      <c r="D44" s="24">
        <f>20*COUNTIF(YY统计!A$2:M$150,$A44)</f>
        <v>0</v>
      </c>
      <c r="E44" s="24">
        <f>SUM(B44:D44)</f>
        <v>40</v>
      </c>
      <c r="F44" s="24">
        <f>IF(AND(E44&gt;=16,E44&lt;66),0.01,ROUNDDOWN((E44-16)/50,0))</f>
        <v>0.01</v>
      </c>
      <c r="G44" s="13">
        <f>IF(AND(F44&gt;=1,F44&lt;=6),E44-F44*50-16,IF(F44=0.01,E44-16,IF(F44=0,0,IF(F44&gt;6,E44-316,0))))</f>
        <v>24</v>
      </c>
    </row>
    <row r="45" spans="1:7" ht="16.5">
      <c r="A45" s="14" t="s">
        <v>50</v>
      </c>
      <c r="B45" s="4">
        <f>VLOOKUP(A45,联盟DKP榜单!A$1:C$598,3,FALSE)-40*COUNTIF(扣分!A:A,A45)</f>
        <v>0</v>
      </c>
      <c r="C45" s="24">
        <f>50*COUNTIF(帮战总榜!A$1:AB$150,$A45)+40*COUNTIF(掠夺!A$1:AB$150,$A45)</f>
        <v>40</v>
      </c>
      <c r="D45" s="24">
        <f>20*COUNTIF(YY统计!A$2:M$150,$A45)</f>
        <v>0</v>
      </c>
      <c r="E45" s="24">
        <f>SUM(B45:D45)</f>
        <v>40</v>
      </c>
      <c r="F45" s="24">
        <f>IF(AND(E45&gt;=16,E45&lt;66),0.01,ROUNDDOWN((E45-16)/50,0))</f>
        <v>0.01</v>
      </c>
      <c r="G45" s="13">
        <f>IF(AND(F45&gt;=1,F45&lt;=6),E45-F45*50-16,IF(F45=0.01,E45-16,IF(F45=0,0,IF(F45&gt;6,E45-316,0))))</f>
        <v>24</v>
      </c>
    </row>
    <row r="46" spans="1:7" ht="16.5">
      <c r="A46" s="14" t="s">
        <v>58</v>
      </c>
      <c r="B46" s="4">
        <f>VLOOKUP(A46,联盟DKP榜单!A$1:C$598,3,FALSE)-40*COUNTIF(扣分!A:A,A46)</f>
        <v>0</v>
      </c>
      <c r="C46" s="24">
        <f>50*COUNTIF(帮战总榜!A$1:AB$150,$A46)+40*COUNTIF(掠夺!A$1:AB$150,$A46)</f>
        <v>0</v>
      </c>
      <c r="D46" s="24">
        <f>20*COUNTIF(YY统计!A$2:M$150,$A46)</f>
        <v>0</v>
      </c>
      <c r="E46" s="24">
        <f>SUM(B46:D46)</f>
        <v>0</v>
      </c>
      <c r="F46" s="24">
        <f>IF(AND(E46&gt;=16,E46&lt;66),0.01,ROUNDDOWN((E46-16)/50,0))</f>
        <v>0</v>
      </c>
      <c r="G46" s="13">
        <f>IF(AND(F46&gt;=1,F46&lt;=6),E46-F46*50-16,IF(F46=0.01,E46-16,IF(F46=0,0,IF(F46&gt;6,E46-316,0))))</f>
        <v>0</v>
      </c>
    </row>
    <row r="47" spans="1:7" ht="16.5">
      <c r="A47" s="14" t="s">
        <v>59</v>
      </c>
      <c r="B47" s="4">
        <f>VLOOKUP(A47,联盟DKP榜单!A$1:C$598,3,FALSE)-40*COUNTIF(扣分!A:A,A47)</f>
        <v>0</v>
      </c>
      <c r="C47" s="24">
        <f>50*COUNTIF(帮战总榜!A$1:AB$150,$A47)+40*COUNTIF(掠夺!A$1:AB$150,$A47)</f>
        <v>0</v>
      </c>
      <c r="D47" s="24">
        <f>20*COUNTIF(YY统计!A$2:M$150,$A47)</f>
        <v>0</v>
      </c>
      <c r="E47" s="24">
        <f>SUM(B47:D47)</f>
        <v>0</v>
      </c>
      <c r="F47" s="24">
        <f>IF(AND(E47&gt;=16,E47&lt;66),0.01,ROUNDDOWN((E47-16)/50,0))</f>
        <v>0</v>
      </c>
      <c r="G47" s="13">
        <f>IF(AND(F47&gt;=1,F47&lt;=6),E47-F47*50-16,IF(F47=0.01,E47-16,IF(F47=0,0,IF(F47&gt;6,E47-316,0))))</f>
        <v>0</v>
      </c>
    </row>
    <row r="48" spans="1:7" ht="16.5">
      <c r="A48" s="14" t="s">
        <v>491</v>
      </c>
      <c r="B48" s="4">
        <f>VLOOKUP(A48,联盟DKP榜单!A$1:C$598,3,FALSE)-40*COUNTIF(扣分!A:A,A48)</f>
        <v>0</v>
      </c>
      <c r="C48" s="24">
        <f>50*COUNTIF(帮战总榜!A$1:AB$150,$A48)+40*COUNTIF(掠夺!A$1:AB$150,$A48)</f>
        <v>0</v>
      </c>
      <c r="D48" s="24">
        <f>20*COUNTIF(YY统计!A$2:M$150,$A48)</f>
        <v>0</v>
      </c>
      <c r="E48" s="24">
        <f>SUM(B48:D48)</f>
        <v>0</v>
      </c>
      <c r="F48" s="24">
        <f>IF(AND(E48&gt;=16,E48&lt;66),0.01,ROUNDDOWN((E48-16)/50,0))</f>
        <v>0</v>
      </c>
      <c r="G48" s="13">
        <f>IF(AND(F48&gt;=1,F48&lt;=6),E48-F48*50-16,IF(F48=0.01,E48-16,IF(F48=0,0,IF(F48&gt;6,E48-316,0))))</f>
        <v>0</v>
      </c>
    </row>
    <row r="49" spans="1:7" ht="16.5">
      <c r="A49" s="14" t="s">
        <v>57</v>
      </c>
      <c r="B49" s="4">
        <f>VLOOKUP(A49,联盟DKP榜单!A$1:C$598,3,FALSE)-40*COUNTIF(扣分!A:A,A49)</f>
        <v>0</v>
      </c>
      <c r="C49" s="24">
        <f>50*COUNTIF(帮战总榜!A$1:AB$150,$A49)+40*COUNTIF(掠夺!A$1:AB$150,$A49)</f>
        <v>0</v>
      </c>
      <c r="D49" s="24">
        <f>20*COUNTIF(YY统计!A$2:M$150,$A49)</f>
        <v>0</v>
      </c>
      <c r="E49" s="24">
        <f>SUM(B49:D49)</f>
        <v>0</v>
      </c>
      <c r="F49" s="24">
        <f>IF(AND(E49&gt;=16,E49&lt;66),0.01,ROUNDDOWN((E49-16)/50,0))</f>
        <v>0</v>
      </c>
      <c r="G49" s="13">
        <f>IF(AND(F49&gt;=1,F49&lt;=6),E49-F49*50-16,IF(F49=0.01,E49-16,IF(F49=0,0,IF(F49&gt;6,E49-316,0))))</f>
        <v>0</v>
      </c>
    </row>
    <row r="50" spans="1:7" ht="16.5">
      <c r="A50" s="14" t="s">
        <v>60</v>
      </c>
      <c r="B50" s="4">
        <f>VLOOKUP(A50,联盟DKP榜单!A$1:C$598,3,FALSE)-40*COUNTIF(扣分!A:A,A50)</f>
        <v>0</v>
      </c>
      <c r="C50" s="24">
        <f>50*COUNTIF(帮战总榜!A$1:AB$150,$A50)+40*COUNTIF(掠夺!A$1:AB$150,$A50)</f>
        <v>0</v>
      </c>
      <c r="D50" s="24">
        <f>20*COUNTIF(YY统计!A$2:M$150,$A50)</f>
        <v>0</v>
      </c>
      <c r="E50" s="24">
        <f>SUM(B50:D50)</f>
        <v>0</v>
      </c>
      <c r="F50" s="24">
        <f>IF(AND(E50&gt;=16,E50&lt;66),0.01,ROUNDDOWN((E50-16)/50,0))</f>
        <v>0</v>
      </c>
      <c r="G50" s="13">
        <f>IF(AND(F50&gt;=1,F50&lt;=6),E50-F50*50-16,IF(F50=0.01,E50-16,IF(F50=0,0,IF(F50&gt;6,E50-316,0))))</f>
        <v>0</v>
      </c>
    </row>
    <row r="51" spans="1:7" ht="16.5">
      <c r="A51" s="14" t="s">
        <v>576</v>
      </c>
      <c r="B51" s="4">
        <f>VLOOKUP(A51,联盟DKP榜单!A$1:C$598,3,FALSE)-40*COUNTIF(扣分!A:A,A51)</f>
        <v>0</v>
      </c>
      <c r="C51" s="24">
        <f>50*COUNTIF(帮战总榜!A$1:AB$150,$A51)+40*COUNTIF(掠夺!A$1:AB$150,$A51)</f>
        <v>0</v>
      </c>
      <c r="D51" s="24">
        <f>20*COUNTIF(YY统计!A$2:M$150,$A51)</f>
        <v>0</v>
      </c>
      <c r="E51" s="24">
        <f>SUM(B51:D51)</f>
        <v>0</v>
      </c>
      <c r="F51" s="24">
        <f>IF(AND(E51&gt;=16,E51&lt;66),0.01,ROUNDDOWN((E51-16)/50,0))</f>
        <v>0</v>
      </c>
      <c r="G51" s="13">
        <f>IF(AND(F51&gt;=1,F51&lt;=6),E51-F51*50-16,IF(F51=0.01,E51-16,IF(F51=0,0,IF(F51&gt;6,E51-316,0))))</f>
        <v>0</v>
      </c>
    </row>
    <row r="52" spans="1:7" ht="16.5">
      <c r="A52" s="14" t="s">
        <v>61</v>
      </c>
      <c r="B52" s="4">
        <f>VLOOKUP(A52,联盟DKP榜单!A$1:C$598,3,FALSE)-40*COUNTIF(扣分!A:A,A52)</f>
        <v>0</v>
      </c>
      <c r="C52" s="24">
        <f>50*COUNTIF(帮战总榜!A$1:AB$150,$A52)+40*COUNTIF(掠夺!A$1:AB$150,$A52)</f>
        <v>0</v>
      </c>
      <c r="D52" s="24">
        <f>20*COUNTIF(YY统计!A$2:M$150,$A52)</f>
        <v>0</v>
      </c>
      <c r="E52" s="24">
        <f>SUM(B52:D52)</f>
        <v>0</v>
      </c>
      <c r="F52" s="24">
        <f>IF(AND(E52&gt;=16,E52&lt;66),0.01,ROUNDDOWN((E52-16)/50,0))</f>
        <v>0</v>
      </c>
      <c r="G52" s="13">
        <f>IF(AND(F52&gt;=1,F52&lt;=6),E52-F52*50-16,IF(F52=0.01,E52-16,IF(F52=0,0,IF(F52&gt;6,E52-316,0))))</f>
        <v>0</v>
      </c>
    </row>
    <row r="53" spans="1:7" ht="16.5">
      <c r="A53" s="14" t="s">
        <v>62</v>
      </c>
      <c r="B53" s="4">
        <f>VLOOKUP(A53,联盟DKP榜单!A$1:C$598,3,FALSE)-40*COUNTIF(扣分!A:A,A53)</f>
        <v>0</v>
      </c>
      <c r="C53" s="24">
        <f>50*COUNTIF(帮战总榜!A$1:AB$150,$A53)+40*COUNTIF(掠夺!A$1:AB$150,$A53)</f>
        <v>0</v>
      </c>
      <c r="D53" s="24">
        <f>20*COUNTIF(YY统计!A$2:M$150,$A53)</f>
        <v>0</v>
      </c>
      <c r="E53" s="24">
        <f>SUM(B53:D53)</f>
        <v>0</v>
      </c>
      <c r="F53" s="24">
        <f>IF(AND(E53&gt;=16,E53&lt;66),0.01,ROUNDDOWN((E53-16)/50,0))</f>
        <v>0</v>
      </c>
      <c r="G53" s="13">
        <f>IF(AND(F53&gt;=1,F53&lt;=6),E53-F53*50-16,IF(F53=0.01,E53-16,IF(F53=0,0,IF(F53&gt;6,E53-316,0))))</f>
        <v>0</v>
      </c>
    </row>
    <row r="54" spans="1:7" ht="16.5">
      <c r="A54" s="14" t="s">
        <v>63</v>
      </c>
      <c r="B54" s="4">
        <f>VLOOKUP(A54,联盟DKP榜单!A$1:C$598,3,FALSE)-40*COUNTIF(扣分!A:A,A54)</f>
        <v>0</v>
      </c>
      <c r="C54" s="24">
        <f>50*COUNTIF(帮战总榜!A$1:AB$150,$A54)+40*COUNTIF(掠夺!A$1:AB$150,$A54)</f>
        <v>0</v>
      </c>
      <c r="D54" s="24">
        <f>20*COUNTIF(YY统计!A$2:M$150,$A54)</f>
        <v>0</v>
      </c>
      <c r="E54" s="24">
        <f>SUM(B54:D54)</f>
        <v>0</v>
      </c>
      <c r="F54" s="24">
        <f>IF(AND(E54&gt;=16,E54&lt;66),0.01,ROUNDDOWN((E54-16)/50,0))</f>
        <v>0</v>
      </c>
      <c r="G54" s="13">
        <f>IF(AND(F54&gt;=1,F54&lt;=6),E54-F54*50-16,IF(F54=0.01,E54-16,IF(F54=0,0,IF(F54&gt;6,E54-316,0))))</f>
        <v>0</v>
      </c>
    </row>
    <row r="55" spans="1:7" ht="16.5">
      <c r="A55" s="14" t="s">
        <v>64</v>
      </c>
      <c r="B55" s="4">
        <f>VLOOKUP(A55,联盟DKP榜单!A$1:C$598,3,FALSE)-40*COUNTIF(扣分!A:A,A55)</f>
        <v>0</v>
      </c>
      <c r="C55" s="24">
        <f>50*COUNTIF(帮战总榜!A$1:AB$150,$A55)+40*COUNTIF(掠夺!A$1:AB$150,$A55)</f>
        <v>0</v>
      </c>
      <c r="D55" s="24">
        <f>20*COUNTIF(YY统计!A$2:M$150,$A55)</f>
        <v>0</v>
      </c>
      <c r="E55" s="24">
        <f>SUM(B55:D55)</f>
        <v>0</v>
      </c>
      <c r="F55" s="24">
        <f>IF(AND(E55&gt;=16,E55&lt;66),0.01,ROUNDDOWN((E55-16)/50,0))</f>
        <v>0</v>
      </c>
      <c r="G55" s="13">
        <f>IF(AND(F55&gt;=1,F55&lt;=6),E55-F55*50-16,IF(F55=0.01,E55-16,IF(F55=0,0,IF(F55&gt;6,E55-316,0))))</f>
        <v>0</v>
      </c>
    </row>
    <row r="56" spans="1:7" ht="16.5">
      <c r="A56" s="14" t="s">
        <v>82</v>
      </c>
      <c r="B56" s="4">
        <f>VLOOKUP(A56,联盟DKP榜单!A$1:C$598,3,FALSE)-40*COUNTIF(扣分!A:A,A56)</f>
        <v>0</v>
      </c>
      <c r="C56" s="24">
        <f>50*COUNTIF(帮战总榜!A$1:AB$150,$A56)+40*COUNTIF(掠夺!A$1:AB$150,$A56)</f>
        <v>0</v>
      </c>
      <c r="D56" s="24">
        <f>20*COUNTIF(YY统计!A$2:M$150,$A56)</f>
        <v>0</v>
      </c>
      <c r="E56" s="24">
        <f>SUM(B56:D56)</f>
        <v>0</v>
      </c>
      <c r="F56" s="24">
        <f>IF(AND(E56&gt;=16,E56&lt;66),0.01,ROUNDDOWN((E56-16)/50,0))</f>
        <v>0</v>
      </c>
      <c r="G56" s="13">
        <f>IF(AND(F56&gt;=1,F56&lt;=6),E56-F56*50-16,IF(F56=0.01,E56-16,IF(F56=0,0,IF(F56&gt;6,E56-316,0))))</f>
        <v>0</v>
      </c>
    </row>
    <row r="57" spans="1:7" ht="16.5">
      <c r="A57" s="14" t="s">
        <v>83</v>
      </c>
      <c r="B57" s="4">
        <f>VLOOKUP(A57,联盟DKP榜单!A$1:C$598,3,FALSE)-40*COUNTIF(扣分!A:A,A57)</f>
        <v>0</v>
      </c>
      <c r="C57" s="24">
        <f>50*COUNTIF(帮战总榜!A$1:AB$150,$A57)+40*COUNTIF(掠夺!A$1:AB$150,$A57)</f>
        <v>0</v>
      </c>
      <c r="D57" s="24">
        <f>20*COUNTIF(YY统计!A$2:M$150,$A57)</f>
        <v>0</v>
      </c>
      <c r="E57" s="24">
        <f>SUM(B57:D57)</f>
        <v>0</v>
      </c>
      <c r="F57" s="24">
        <f>IF(AND(E57&gt;=16,E57&lt;66),0.01,ROUNDDOWN((E57-16)/50,0))</f>
        <v>0</v>
      </c>
      <c r="G57" s="13">
        <f>IF(AND(F57&gt;=1,F57&lt;=6),E57-F57*50-16,IF(F57=0.01,E57-16,IF(F57=0,0,IF(F57&gt;6,E57-316,0))))</f>
        <v>0</v>
      </c>
    </row>
    <row r="58" spans="1:7" ht="16.5">
      <c r="A58" s="14" t="s">
        <v>578</v>
      </c>
      <c r="B58" s="4">
        <f>VLOOKUP(A58,联盟DKP榜单!A$1:C$598,3,FALSE)-40*COUNTIF(扣分!A:A,A58)</f>
        <v>0</v>
      </c>
      <c r="C58" s="24">
        <f>50*COUNTIF(帮战总榜!A$1:AB$150,$A58)+40*COUNTIF(掠夺!A$1:AB$150,$A58)</f>
        <v>0</v>
      </c>
      <c r="D58" s="24">
        <f>20*COUNTIF(YY统计!A$2:M$150,$A58)</f>
        <v>0</v>
      </c>
      <c r="E58" s="24">
        <f>SUM(B58:D58)</f>
        <v>0</v>
      </c>
      <c r="F58" s="24">
        <f>IF(AND(E58&gt;=16,E58&lt;66),0.01,ROUNDDOWN((E58-16)/50,0))</f>
        <v>0</v>
      </c>
      <c r="G58" s="13">
        <f>IF(AND(F58&gt;=1,F58&lt;=6),E58-F58*50-16,IF(F58=0.01,E58-16,IF(F58=0,0,IF(F58&gt;6,E58-316,0))))</f>
        <v>0</v>
      </c>
    </row>
    <row r="59" spans="1:7" ht="16.5">
      <c r="A59" s="14" t="s">
        <v>84</v>
      </c>
      <c r="B59" s="4">
        <f>VLOOKUP(A59,联盟DKP榜单!A$1:C$598,3,FALSE)-40*COUNTIF(扣分!A:A,A59)</f>
        <v>0</v>
      </c>
      <c r="C59" s="24">
        <f>50*COUNTIF(帮战总榜!A$1:AB$150,$A59)+40*COUNTIF(掠夺!A$1:AB$150,$A59)</f>
        <v>0</v>
      </c>
      <c r="D59" s="24">
        <f>20*COUNTIF(YY统计!A$2:M$150,$A59)</f>
        <v>0</v>
      </c>
      <c r="E59" s="24">
        <f>SUM(B59:D59)</f>
        <v>0</v>
      </c>
      <c r="F59" s="24">
        <f>IF(AND(E59&gt;=16,E59&lt;66),0.01,ROUNDDOWN((E59-16)/50,0))</f>
        <v>0</v>
      </c>
      <c r="G59" s="13">
        <f>IF(AND(F59&gt;=1,F59&lt;=6),E59-F59*50-16,IF(F59=0.01,E59-16,IF(F59=0,0,IF(F59&gt;6,E59-316,0))))</f>
        <v>0</v>
      </c>
    </row>
    <row r="60" spans="1:7" ht="16.5">
      <c r="A60" s="14" t="s">
        <v>118</v>
      </c>
      <c r="B60" s="4">
        <f>VLOOKUP(A60,联盟DKP榜单!A$1:C$598,3,FALSE)-40*COUNTIF(扣分!A:A,A60)</f>
        <v>0</v>
      </c>
      <c r="C60" s="24">
        <f>50*COUNTIF(帮战总榜!A$1:AB$150,$A60)+40*COUNTIF(掠夺!A$1:AB$150,$A60)</f>
        <v>0</v>
      </c>
      <c r="D60" s="24">
        <f>20*COUNTIF(YY统计!A$2:M$150,$A60)</f>
        <v>0</v>
      </c>
      <c r="E60" s="24">
        <f>SUM(B60:D60)</f>
        <v>0</v>
      </c>
      <c r="F60" s="24">
        <f>IF(AND(E60&gt;=16,E60&lt;66),0.01,ROUNDDOWN((E60-16)/50,0))</f>
        <v>0</v>
      </c>
      <c r="G60" s="13">
        <f>IF(AND(F60&gt;=1,F60&lt;=6),E60-F60*50-16,IF(F60=0.01,E60-16,IF(F60=0,0,IF(F60&gt;6,E60-316,0))))</f>
        <v>0</v>
      </c>
    </row>
    <row r="61" spans="1:7" ht="16.5">
      <c r="A61" s="14" t="s">
        <v>119</v>
      </c>
      <c r="B61" s="4">
        <f>VLOOKUP(A61,联盟DKP榜单!A$1:C$598,3,FALSE)-40*COUNTIF(扣分!A:A,A61)</f>
        <v>0</v>
      </c>
      <c r="C61" s="24">
        <f>50*COUNTIF(帮战总榜!A$1:AB$150,$A61)+40*COUNTIF(掠夺!A$1:AB$150,$A61)</f>
        <v>0</v>
      </c>
      <c r="D61" s="24">
        <f>20*COUNTIF(YY统计!A$2:M$150,$A61)</f>
        <v>0</v>
      </c>
      <c r="E61" s="24">
        <f>SUM(B61:D61)</f>
        <v>0</v>
      </c>
      <c r="F61" s="24">
        <f>IF(AND(E61&gt;=16,E61&lt;66),0.01,ROUNDDOWN((E61-16)/50,0))</f>
        <v>0</v>
      </c>
      <c r="G61" s="13">
        <f>IF(AND(F61&gt;=1,F61&lt;=6),E61-F61*50-16,IF(F61=0.01,E61-16,IF(F61=0,0,IF(F61&gt;6,E61-316,0))))</f>
        <v>0</v>
      </c>
    </row>
    <row r="62" spans="1:7" ht="16.5">
      <c r="A62" s="14" t="s">
        <v>120</v>
      </c>
      <c r="B62" s="4">
        <f>VLOOKUP(A62,联盟DKP榜单!A$1:C$598,3,FALSE)-40*COUNTIF(扣分!A:A,A62)</f>
        <v>0</v>
      </c>
      <c r="C62" s="24">
        <f>50*COUNTIF(帮战总榜!A$1:AB$150,$A62)+40*COUNTIF(掠夺!A$1:AB$150,$A62)</f>
        <v>0</v>
      </c>
      <c r="D62" s="24">
        <f>20*COUNTIF(YY统计!A$2:M$150,$A62)</f>
        <v>0</v>
      </c>
      <c r="E62" s="24">
        <f>SUM(B62:D62)</f>
        <v>0</v>
      </c>
      <c r="F62" s="24">
        <f>IF(AND(E62&gt;=16,E62&lt;66),0.01,ROUNDDOWN((E62-16)/50,0))</f>
        <v>0</v>
      </c>
      <c r="G62" s="13">
        <f>IF(AND(F62&gt;=1,F62&lt;=6),E62-F62*50-16,IF(F62=0.01,E62-16,IF(F62=0,0,IF(F62&gt;6,E62-316,0))))</f>
        <v>0</v>
      </c>
    </row>
    <row r="63" spans="1:7" ht="16.5">
      <c r="A63" s="14" t="s">
        <v>121</v>
      </c>
      <c r="B63" s="4">
        <f>VLOOKUP(A63,联盟DKP榜单!A$1:C$598,3,FALSE)-40*COUNTIF(扣分!A:A,A63)</f>
        <v>0</v>
      </c>
      <c r="C63" s="24">
        <f>50*COUNTIF(帮战总榜!A$1:AB$150,$A63)+40*COUNTIF(掠夺!A$1:AB$150,$A63)</f>
        <v>0</v>
      </c>
      <c r="D63" s="24">
        <f>20*COUNTIF(YY统计!A$2:M$150,$A63)</f>
        <v>0</v>
      </c>
      <c r="E63" s="24">
        <f>SUM(B63:D63)</f>
        <v>0</v>
      </c>
      <c r="F63" s="24">
        <f>IF(AND(E63&gt;=16,E63&lt;66),0.01,ROUNDDOWN((E63-16)/50,0))</f>
        <v>0</v>
      </c>
      <c r="G63" s="13">
        <f>IF(AND(F63&gt;=1,F63&lt;=6),E63-F63*50-16,IF(F63=0.01,E63-16,IF(F63=0,0,IF(F63&gt;6,E63-316,0))))</f>
        <v>0</v>
      </c>
    </row>
    <row r="64" spans="1:7" ht="16.5">
      <c r="A64" s="14" t="s">
        <v>502</v>
      </c>
      <c r="B64" s="4">
        <f>VLOOKUP(A64,联盟DKP榜单!A$1:C$598,3,FALSE)-40*COUNTIF(扣分!A:A,A64)</f>
        <v>0</v>
      </c>
      <c r="C64" s="24">
        <f>50*COUNTIF(帮战总榜!A$1:AB$150,$A64)+40*COUNTIF(掠夺!A$1:AB$150,$A64)</f>
        <v>0</v>
      </c>
      <c r="D64" s="24">
        <f>20*COUNTIF(YY统计!A$2:M$150,$A64)</f>
        <v>0</v>
      </c>
      <c r="E64" s="24">
        <f>SUM(B64:D64)</f>
        <v>0</v>
      </c>
      <c r="F64" s="24">
        <f>IF(AND(E64&gt;=16,E64&lt;66),0.01,ROUNDDOWN((E64-16)/50,0))</f>
        <v>0</v>
      </c>
      <c r="G64" s="13">
        <f>IF(AND(F64&gt;=1,F64&lt;=6),E64-F64*50-16,IF(F64=0.01,E64-16,IF(F64=0,0,IF(F64&gt;6,E64-316,0))))</f>
        <v>0</v>
      </c>
    </row>
    <row r="65" spans="1:7" ht="16.5">
      <c r="A65" s="14" t="s">
        <v>123</v>
      </c>
      <c r="B65" s="4">
        <f>VLOOKUP(A65,联盟DKP榜单!A$1:C$598,3,FALSE)-40*COUNTIF(扣分!A:A,A65)</f>
        <v>0</v>
      </c>
      <c r="C65" s="24">
        <f>50*COUNTIF(帮战总榜!A$1:AB$150,$A65)+40*COUNTIF(掠夺!A$1:AB$150,$A65)</f>
        <v>0</v>
      </c>
      <c r="D65" s="24">
        <f>20*COUNTIF(YY统计!A$2:M$150,$A65)</f>
        <v>0</v>
      </c>
      <c r="E65" s="24">
        <f>SUM(B65:D65)</f>
        <v>0</v>
      </c>
      <c r="F65" s="24">
        <f>IF(AND(E65&gt;=16,E65&lt;66),0.01,ROUNDDOWN((E65-16)/50,0))</f>
        <v>0</v>
      </c>
      <c r="G65" s="13">
        <f>IF(AND(F65&gt;=1,F65&lt;=6),E65-F65*50-16,IF(F65=0.01,E65-16,IF(F65=0,0,IF(F65&gt;6,E65-316,0))))</f>
        <v>0</v>
      </c>
    </row>
    <row r="66" spans="1:7" ht="16.5">
      <c r="A66" s="14" t="s">
        <v>540</v>
      </c>
      <c r="B66" s="4">
        <f>VLOOKUP(A66,联盟DKP榜单!A$1:C$598,3,FALSE)-40*COUNTIF(扣分!A:A,A66)</f>
        <v>0</v>
      </c>
      <c r="C66" s="24">
        <f>50*COUNTIF(帮战总榜!A$1:AB$150,$A66)+40*COUNTIF(掠夺!A$1:AB$150,$A66)</f>
        <v>0</v>
      </c>
      <c r="D66" s="24">
        <f>20*COUNTIF(YY统计!A$2:M$150,$A66)</f>
        <v>0</v>
      </c>
      <c r="E66" s="24">
        <f>SUM(B66:D66)</f>
        <v>0</v>
      </c>
      <c r="F66" s="24">
        <f>IF(AND(E66&gt;=16,E66&lt;66),0.01,ROUNDDOWN((E66-16)/50,0))</f>
        <v>0</v>
      </c>
      <c r="G66" s="13">
        <f>IF(AND(F66&gt;=1,F66&lt;=6),E66-F66*50-16,IF(F66=0.01,E66-16,IF(F66=0,0,IF(F66&gt;6,E66-316,0))))</f>
        <v>0</v>
      </c>
    </row>
    <row r="67" spans="1:7" ht="16.5">
      <c r="A67" s="14" t="s">
        <v>65</v>
      </c>
      <c r="B67" s="4">
        <f>VLOOKUP(A67,联盟DKP榜单!A$1:C$598,3,FALSE)-40*COUNTIF(扣分!A:A,A67)</f>
        <v>0</v>
      </c>
      <c r="C67" s="24">
        <f>50*COUNTIF(帮战总榜!A$1:AB$150,$A67)+40*COUNTIF(掠夺!A$1:AB$150,$A67)</f>
        <v>0</v>
      </c>
      <c r="D67" s="24">
        <f>20*COUNTIF(YY统计!A$2:M$150,$A67)</f>
        <v>0</v>
      </c>
      <c r="E67" s="24">
        <f>SUM(B67:D67)</f>
        <v>0</v>
      </c>
      <c r="F67" s="24">
        <f>IF(AND(E67&gt;=16,E67&lt;66),0.01,ROUNDDOWN((E67-16)/50,0))</f>
        <v>0</v>
      </c>
      <c r="G67" s="13">
        <f>IF(AND(F67&gt;=1,F67&lt;=6),E67-F67*50-16,IF(F67=0.01,E67-16,IF(F67=0,0,IF(F67&gt;6,E67-316,0))))</f>
        <v>0</v>
      </c>
    </row>
    <row r="68" spans="1:7" ht="16.5">
      <c r="A68" s="14" t="s">
        <v>55</v>
      </c>
      <c r="B68" s="4">
        <f>VLOOKUP(A68,联盟DKP榜单!A$1:C$598,3,FALSE)-40*COUNTIF(扣分!A:A,A68)</f>
        <v>0</v>
      </c>
      <c r="C68" s="24">
        <f>50*COUNTIF(帮战总榜!A$1:AB$150,$A68)+40*COUNTIF(掠夺!A$1:AB$150,$A68)</f>
        <v>0</v>
      </c>
      <c r="D68" s="24">
        <f>20*COUNTIF(YY统计!A$2:M$150,$A68)</f>
        <v>0</v>
      </c>
      <c r="E68" s="24">
        <f>SUM(B68:D68)</f>
        <v>0</v>
      </c>
      <c r="F68" s="24">
        <f>IF(AND(E68&gt;=16,E68&lt;66),0.01,ROUNDDOWN((E68-16)/50,0))</f>
        <v>0</v>
      </c>
      <c r="G68" s="13">
        <f>IF(AND(F68&gt;=1,F68&lt;=6),E68-F68*50-16,IF(F68=0.01,E68-16,IF(F68=0,0,IF(F68&gt;6,E68-316,0))))</f>
        <v>0</v>
      </c>
    </row>
    <row r="69" spans="1:7" ht="16.5">
      <c r="A69" s="14" t="s">
        <v>66</v>
      </c>
      <c r="B69" s="4">
        <f>VLOOKUP(A69,联盟DKP榜单!A$1:C$598,3,FALSE)-40*COUNTIF(扣分!A:A,A69)</f>
        <v>0</v>
      </c>
      <c r="C69" s="24">
        <f>50*COUNTIF(帮战总榜!A$1:AB$150,$A69)+40*COUNTIF(掠夺!A$1:AB$150,$A69)</f>
        <v>0</v>
      </c>
      <c r="D69" s="24">
        <f>20*COUNTIF(YY统计!A$2:M$150,$A69)</f>
        <v>0</v>
      </c>
      <c r="E69" s="24">
        <f>SUM(B69:D69)</f>
        <v>0</v>
      </c>
      <c r="F69" s="24">
        <f>IF(AND(E69&gt;=16,E69&lt;66),0.01,ROUNDDOWN((E69-16)/50,0))</f>
        <v>0</v>
      </c>
      <c r="G69" s="13">
        <f>IF(AND(F69&gt;=1,F69&lt;=6),E69-F69*50-16,IF(F69=0.01,E69-16,IF(F69=0,0,IF(F69&gt;6,E69-316,0))))</f>
        <v>0</v>
      </c>
    </row>
    <row r="70" spans="1:7" ht="16.5">
      <c r="A70" s="14" t="s">
        <v>582</v>
      </c>
      <c r="B70" s="4">
        <f>VLOOKUP(A70,联盟DKP榜单!A$1:C$598,3,FALSE)-40*COUNTIF(扣分!A:A,A70)</f>
        <v>0</v>
      </c>
      <c r="C70" s="24">
        <f>50*COUNTIF(帮战总榜!A$1:AB$150,$A70)+40*COUNTIF(掠夺!A$1:AB$150,$A70)</f>
        <v>0</v>
      </c>
      <c r="D70" s="24">
        <f>20*COUNTIF(YY统计!A$2:M$150,$A70)</f>
        <v>0</v>
      </c>
      <c r="E70" s="24">
        <f>SUM(B70:D70)</f>
        <v>0</v>
      </c>
      <c r="F70" s="24">
        <f>IF(AND(E70&gt;=16,E70&lt;66),0.01,ROUNDDOWN((E70-16)/50,0))</f>
        <v>0</v>
      </c>
      <c r="G70" s="13">
        <f>IF(AND(F70&gt;=1,F70&lt;=6),E70-F70*50-16,IF(F70=0.01,E70-16,IF(F70=0,0,IF(F70&gt;6,E70-316,0))))</f>
        <v>0</v>
      </c>
    </row>
    <row r="71" spans="1:7" ht="16.5">
      <c r="A71" s="14" t="s">
        <v>68</v>
      </c>
      <c r="B71" s="4">
        <f>VLOOKUP(A71,联盟DKP榜单!A$1:C$598,3,FALSE)-40*COUNTIF(扣分!A:A,A71)</f>
        <v>0</v>
      </c>
      <c r="C71" s="24">
        <f>50*COUNTIF(帮战总榜!A$1:AB$150,$A71)+40*COUNTIF(掠夺!A$1:AB$150,$A71)</f>
        <v>0</v>
      </c>
      <c r="D71" s="24">
        <f>20*COUNTIF(YY统计!A$2:M$150,$A71)</f>
        <v>0</v>
      </c>
      <c r="E71" s="24">
        <f>SUM(B71:D71)</f>
        <v>0</v>
      </c>
      <c r="F71" s="24">
        <f>IF(AND(E71&gt;=16,E71&lt;66),0.01,ROUNDDOWN((E71-16)/50,0))</f>
        <v>0</v>
      </c>
      <c r="G71" s="13">
        <f>IF(AND(F71&gt;=1,F71&lt;=6),E71-F71*50-16,IF(F71=0.01,E71-16,IF(F71=0,0,IF(F71&gt;6,E71-316,0))))</f>
        <v>0</v>
      </c>
    </row>
    <row r="72" spans="1:7" ht="16.5">
      <c r="A72" s="14" t="s">
        <v>584</v>
      </c>
      <c r="B72" s="4">
        <f>VLOOKUP(A72,联盟DKP榜单!A$1:C$598,3,FALSE)-40*COUNTIF(扣分!A:A,A72)</f>
        <v>0</v>
      </c>
      <c r="C72" s="24">
        <f>50*COUNTIF(帮战总榜!A$1:AB$150,$A72)+40*COUNTIF(掠夺!A$1:AB$150,$A72)</f>
        <v>0</v>
      </c>
      <c r="D72" s="24">
        <f>20*COUNTIF(YY统计!A$2:M$150,$A72)</f>
        <v>0</v>
      </c>
      <c r="E72" s="24">
        <f>SUM(B72:D72)</f>
        <v>0</v>
      </c>
      <c r="F72" s="24">
        <f>IF(AND(E72&gt;=16,E72&lt;66),0.01,ROUNDDOWN((E72-16)/50,0))</f>
        <v>0</v>
      </c>
      <c r="G72" s="13">
        <f>IF(AND(F72&gt;=1,F72&lt;=6),E72-F72*50-16,IF(F72=0.01,E72-16,IF(F72=0,0,IF(F72&gt;6,E72-316,0))))</f>
        <v>0</v>
      </c>
    </row>
    <row r="73" spans="1:7" ht="16.5">
      <c r="A73" s="14" t="s">
        <v>585</v>
      </c>
      <c r="B73" s="4">
        <f>VLOOKUP(A73,联盟DKP榜单!A$1:C$598,3,FALSE)-40*COUNTIF(扣分!A:A,A73)</f>
        <v>0</v>
      </c>
      <c r="C73" s="24">
        <f>50*COUNTIF(帮战总榜!A$1:AB$150,$A73)+40*COUNTIF(掠夺!A$1:AB$150,$A73)</f>
        <v>0</v>
      </c>
      <c r="D73" s="24">
        <f>20*COUNTIF(YY统计!A$2:M$150,$A73)</f>
        <v>0</v>
      </c>
      <c r="E73" s="24">
        <f>SUM(B73:D73)</f>
        <v>0</v>
      </c>
      <c r="F73" s="24">
        <f>IF(AND(E73&gt;=16,E73&lt;66),0.01,ROUNDDOWN((E73-16)/50,0))</f>
        <v>0</v>
      </c>
      <c r="G73" s="13">
        <f>IF(AND(F73&gt;=1,F73&lt;=6),E73-F73*50-16,IF(F73=0.01,E73-16,IF(F73=0,0,IF(F73&gt;6,E73-316,0))))</f>
        <v>0</v>
      </c>
    </row>
    <row r="74" spans="1:7" ht="16.5">
      <c r="A74" s="14" t="s">
        <v>69</v>
      </c>
      <c r="B74" s="4">
        <f>VLOOKUP(A74,联盟DKP榜单!A$1:C$598,3,FALSE)-40*COUNTIF(扣分!A:A,A74)</f>
        <v>0</v>
      </c>
      <c r="C74" s="24">
        <f>50*COUNTIF(帮战总榜!A$1:AB$150,$A74)+40*COUNTIF(掠夺!A$1:AB$150,$A74)</f>
        <v>0</v>
      </c>
      <c r="D74" s="24">
        <f>20*COUNTIF(YY统计!A$2:M$150,$A74)</f>
        <v>0</v>
      </c>
      <c r="E74" s="24">
        <f>SUM(B74:D74)</f>
        <v>0</v>
      </c>
      <c r="F74" s="24">
        <f>IF(AND(E74&gt;=16,E74&lt;66),0.01,ROUNDDOWN((E74-16)/50,0))</f>
        <v>0</v>
      </c>
      <c r="G74" s="13">
        <f>IF(AND(F74&gt;=1,F74&lt;=6),E74-F74*50-16,IF(F74=0.01,E74-16,IF(F74=0,0,IF(F74&gt;6,E74-316,0))))</f>
        <v>0</v>
      </c>
    </row>
    <row r="75" spans="1:7" ht="16.5">
      <c r="A75" s="14" t="s">
        <v>587</v>
      </c>
      <c r="B75" s="4">
        <f>VLOOKUP(A75,联盟DKP榜单!A$1:C$598,3,FALSE)-40*COUNTIF(扣分!A:A,A75)</f>
        <v>0</v>
      </c>
      <c r="C75" s="24">
        <f>50*COUNTIF(帮战总榜!A$1:AB$150,$A75)+40*COUNTIF(掠夺!A$1:AB$150,$A75)</f>
        <v>0</v>
      </c>
      <c r="D75" s="24">
        <f>20*COUNTIF(YY统计!A$2:M$150,$A75)</f>
        <v>0</v>
      </c>
      <c r="E75" s="24">
        <f>SUM(B75:D75)</f>
        <v>0</v>
      </c>
      <c r="F75" s="24">
        <f>IF(AND(E75&gt;=16,E75&lt;66),0.01,ROUNDDOWN((E75-16)/50,0))</f>
        <v>0</v>
      </c>
      <c r="G75" s="13">
        <f>IF(AND(F75&gt;=1,F75&lt;=6),E75-F75*50-16,IF(F75=0.01,E75-16,IF(F75=0,0,IF(F75&gt;6,E75-316,0))))</f>
        <v>0</v>
      </c>
    </row>
    <row r="76" spans="1:7" ht="16.5">
      <c r="A76" s="14" t="s">
        <v>74</v>
      </c>
      <c r="B76" s="4">
        <f>VLOOKUP(A76,联盟DKP榜单!A$1:C$598,3,FALSE)-40*COUNTIF(扣分!A:A,A76)</f>
        <v>-40</v>
      </c>
      <c r="C76" s="24">
        <f>50*COUNTIF(帮战总榜!A$1:AB$150,$A76)+40*COUNTIF(掠夺!A$1:AB$150,$A76)</f>
        <v>40</v>
      </c>
      <c r="D76" s="24">
        <f>20*COUNTIF(YY统计!A$2:M$150,$A76)</f>
        <v>0</v>
      </c>
      <c r="E76" s="24">
        <f>SUM(B76:D76)</f>
        <v>0</v>
      </c>
      <c r="F76" s="24">
        <f>IF(AND(E76&gt;=16,E76&lt;66),0.01,ROUNDDOWN((E76-16)/50,0))</f>
        <v>0</v>
      </c>
      <c r="G76" s="13">
        <f>IF(AND(F76&gt;=1,F76&lt;=6),E76-F76*50-16,IF(F76=0.01,E76-16,IF(F76=0,0,IF(F76&gt;6,E76-316,0))))</f>
        <v>0</v>
      </c>
    </row>
    <row r="77" spans="1:7" ht="16.5">
      <c r="A77" s="14" t="s">
        <v>539</v>
      </c>
      <c r="B77" s="4">
        <f>VLOOKUP(A77,联盟DKP榜单!A$1:C$598,3,FALSE)-40*COUNTIF(扣分!A:A,A77)</f>
        <v>0</v>
      </c>
      <c r="C77" s="24">
        <f>50*COUNTIF(帮战总榜!A$1:AB$150,$A77)+40*COUNTIF(掠夺!A$1:AB$150,$A77)</f>
        <v>0</v>
      </c>
      <c r="D77" s="24">
        <f>20*COUNTIF(YY统计!A$2:M$150,$A77)</f>
        <v>0</v>
      </c>
      <c r="E77" s="24">
        <f>SUM(B77:D77)</f>
        <v>0</v>
      </c>
      <c r="F77" s="24">
        <f>IF(AND(E77&gt;=16,E77&lt;66),0.01,ROUNDDOWN((E77-16)/50,0))</f>
        <v>0</v>
      </c>
      <c r="G77" s="13">
        <f>IF(AND(F77&gt;=1,F77&lt;=6),E77-F77*50-16,IF(F77=0.01,E77-16,IF(F77=0,0,IF(F77&gt;6,E77-316,0))))</f>
        <v>0</v>
      </c>
    </row>
    <row r="78" spans="1:7" ht="16.5">
      <c r="A78" s="14" t="s">
        <v>75</v>
      </c>
      <c r="B78" s="4">
        <f>VLOOKUP(A78,联盟DKP榜单!A$1:C$598,3,FALSE)-40*COUNTIF(扣分!A:A,A78)</f>
        <v>0</v>
      </c>
      <c r="C78" s="24">
        <f>50*COUNTIF(帮战总榜!A$1:AB$150,$A78)+40*COUNTIF(掠夺!A$1:AB$150,$A78)</f>
        <v>0</v>
      </c>
      <c r="D78" s="24">
        <f>20*COUNTIF(YY统计!A$2:M$150,$A78)</f>
        <v>0</v>
      </c>
      <c r="E78" s="24">
        <f>SUM(B78:D78)</f>
        <v>0</v>
      </c>
      <c r="F78" s="24">
        <f>IF(AND(E78&gt;=16,E78&lt;66),0.01,ROUNDDOWN((E78-16)/50,0))</f>
        <v>0</v>
      </c>
      <c r="G78" s="13">
        <f>IF(AND(F78&gt;=1,F78&lt;=6),E78-F78*50-16,IF(F78=0.01,E78-16,IF(F78=0,0,IF(F78&gt;6,E78-316,0))))</f>
        <v>0</v>
      </c>
    </row>
    <row r="79" spans="1:7" ht="16.5">
      <c r="A79" s="14" t="s">
        <v>433</v>
      </c>
      <c r="B79" s="4">
        <f>VLOOKUP(A79,联盟DKP榜单!A$1:C$598,3,FALSE)-40*COUNTIF(扣分!A:A,A79)</f>
        <v>0</v>
      </c>
      <c r="C79" s="24">
        <f>50*COUNTIF(帮战总榜!A$1:AB$150,$A79)+40*COUNTIF(掠夺!A$1:AB$150,$A79)</f>
        <v>0</v>
      </c>
      <c r="D79" s="24">
        <f>20*COUNTIF(YY统计!A$2:M$150,$A79)</f>
        <v>0</v>
      </c>
      <c r="E79" s="24">
        <f>SUM(B79:D79)</f>
        <v>0</v>
      </c>
      <c r="F79" s="24">
        <f>IF(AND(E79&gt;=16,E79&lt;66),0.01,ROUNDDOWN((E79-16)/50,0))</f>
        <v>0</v>
      </c>
      <c r="G79" s="13">
        <f>IF(AND(F79&gt;=1,F79&lt;=6),E79-F79*50-16,IF(F79=0.01,E79-16,IF(F79=0,0,IF(F79&gt;6,E79-316,0))))</f>
        <v>0</v>
      </c>
    </row>
    <row r="80" spans="1:7" ht="16.5">
      <c r="A80" s="14" t="s">
        <v>76</v>
      </c>
      <c r="B80" s="4">
        <f>VLOOKUP(A80,联盟DKP榜单!A$1:C$598,3,FALSE)-40*COUNTIF(扣分!A:A,A80)</f>
        <v>0</v>
      </c>
      <c r="C80" s="24">
        <f>50*COUNTIF(帮战总榜!A$1:AB$150,$A80)+40*COUNTIF(掠夺!A$1:AB$150,$A80)</f>
        <v>0</v>
      </c>
      <c r="D80" s="24">
        <f>20*COUNTIF(YY统计!A$2:M$150,$A80)</f>
        <v>0</v>
      </c>
      <c r="E80" s="24">
        <f>SUM(B80:D80)</f>
        <v>0</v>
      </c>
      <c r="F80" s="24">
        <f>IF(AND(E80&gt;=16,E80&lt;66),0.01,ROUNDDOWN((E80-16)/50,0))</f>
        <v>0</v>
      </c>
      <c r="G80" s="13">
        <f>IF(AND(F80&gt;=1,F80&lt;=6),E80-F80*50-16,IF(F80=0.01,E80-16,IF(F80=0,0,IF(F80&gt;6,E80-316,0))))</f>
        <v>0</v>
      </c>
    </row>
    <row r="81" spans="1:7" ht="16.5">
      <c r="A81" s="14" t="s">
        <v>54</v>
      </c>
      <c r="B81" s="4">
        <f>VLOOKUP(A81,联盟DKP榜单!A$1:C$598,3,FALSE)-40*COUNTIF(扣分!A:A,A81)</f>
        <v>0</v>
      </c>
      <c r="C81" s="24">
        <f>50*COUNTIF(帮战总榜!A$1:AB$150,$A81)+40*COUNTIF(掠夺!A$1:AB$150,$A81)</f>
        <v>0</v>
      </c>
      <c r="D81" s="24">
        <f>20*COUNTIF(YY统计!A$2:M$150,$A81)</f>
        <v>0</v>
      </c>
      <c r="E81" s="24">
        <f>SUM(B81:D81)</f>
        <v>0</v>
      </c>
      <c r="F81" s="24">
        <f>IF(AND(E81&gt;=16,E81&lt;66),0.01,ROUNDDOWN((E81-16)/50,0))</f>
        <v>0</v>
      </c>
      <c r="G81" s="13">
        <f>IF(AND(F81&gt;=1,F81&lt;=6),E81-F81*50-16,IF(F81=0.01,E81-16,IF(F81=0,0,IF(F81&gt;6,E81-316,0))))</f>
        <v>0</v>
      </c>
    </row>
    <row r="82" spans="1:7" ht="16.5">
      <c r="A82" s="14" t="s">
        <v>77</v>
      </c>
      <c r="B82" s="4">
        <f>VLOOKUP(A82,联盟DKP榜单!A$1:C$598,3,FALSE)-40*COUNTIF(扣分!A:A,A82)</f>
        <v>0</v>
      </c>
      <c r="C82" s="24">
        <f>50*COUNTIF(帮战总榜!A$1:AB$150,$A82)+40*COUNTIF(掠夺!A$1:AB$150,$A82)</f>
        <v>0</v>
      </c>
      <c r="D82" s="24">
        <f>20*COUNTIF(YY统计!A$2:M$150,$A82)</f>
        <v>0</v>
      </c>
      <c r="E82" s="24">
        <f>SUM(B82:D82)</f>
        <v>0</v>
      </c>
      <c r="F82" s="24">
        <f>IF(AND(E82&gt;=16,E82&lt;66),0.01,ROUNDDOWN((E82-16)/50,0))</f>
        <v>0</v>
      </c>
      <c r="G82" s="13">
        <f>IF(AND(F82&gt;=1,F82&lt;=6),E82-F82*50-16,IF(F82=0.01,E82-16,IF(F82=0,0,IF(F82&gt;6,E82-316,0))))</f>
        <v>0</v>
      </c>
    </row>
    <row r="83" spans="1:7" ht="16.5">
      <c r="A83" s="14" t="s">
        <v>78</v>
      </c>
      <c r="B83" s="4">
        <f>VLOOKUP(A83,联盟DKP榜单!A$1:C$598,3,FALSE)-40*COUNTIF(扣分!A:A,A83)</f>
        <v>0</v>
      </c>
      <c r="C83" s="24">
        <f>50*COUNTIF(帮战总榜!A$1:AB$150,$A83)+40*COUNTIF(掠夺!A$1:AB$150,$A83)</f>
        <v>0</v>
      </c>
      <c r="D83" s="24">
        <f>20*COUNTIF(YY统计!A$2:M$150,$A83)</f>
        <v>0</v>
      </c>
      <c r="E83" s="24">
        <f>SUM(B83:D83)</f>
        <v>0</v>
      </c>
      <c r="F83" s="24">
        <f>IF(AND(E83&gt;=16,E83&lt;66),0.01,ROUNDDOWN((E83-16)/50,0))</f>
        <v>0</v>
      </c>
      <c r="G83" s="13">
        <f>IF(AND(F83&gt;=1,F83&lt;=6),E83-F83*50-16,IF(F83=0.01,E83-16,IF(F83=0,0,IF(F83&gt;6,E83-316,0))))</f>
        <v>0</v>
      </c>
    </row>
    <row r="84" spans="1:7" ht="16.5">
      <c r="A84" s="14" t="s">
        <v>501</v>
      </c>
      <c r="B84" s="4">
        <f>VLOOKUP(A84,联盟DKP榜单!A$1:C$598,3,FALSE)-40*COUNTIF(扣分!A:A,A84)</f>
        <v>0</v>
      </c>
      <c r="C84" s="24">
        <f>50*COUNTIF(帮战总榜!A$1:AB$150,$A84)+40*COUNTIF(掠夺!A$1:AB$150,$A84)</f>
        <v>0</v>
      </c>
      <c r="D84" s="24">
        <f>20*COUNTIF(YY统计!A$2:M$150,$A84)</f>
        <v>0</v>
      </c>
      <c r="E84" s="24">
        <f>SUM(B84:D84)</f>
        <v>0</v>
      </c>
      <c r="F84" s="24">
        <f>IF(AND(E84&gt;=16,E84&lt;66),0.01,ROUNDDOWN((E84-16)/50,0))</f>
        <v>0</v>
      </c>
      <c r="G84" s="13">
        <f>IF(AND(F84&gt;=1,F84&lt;=6),E84-F84*50-16,IF(F84=0.01,E84-16,IF(F84=0,0,IF(F84&gt;6,E84-316,0))))</f>
        <v>0</v>
      </c>
    </row>
    <row r="85" spans="1:7" ht="16.5">
      <c r="A85" s="14" t="s">
        <v>79</v>
      </c>
      <c r="B85" s="4">
        <f>VLOOKUP(A85,联盟DKP榜单!A$1:C$598,3,FALSE)-40*COUNTIF(扣分!A:A,A85)</f>
        <v>0</v>
      </c>
      <c r="C85" s="24">
        <f>50*COUNTIF(帮战总榜!A$1:AB$150,$A85)+40*COUNTIF(掠夺!A$1:AB$150,$A85)</f>
        <v>0</v>
      </c>
      <c r="D85" s="24">
        <f>20*COUNTIF(YY统计!A$2:M$150,$A85)</f>
        <v>0</v>
      </c>
      <c r="E85" s="24">
        <f>SUM(B85:D85)</f>
        <v>0</v>
      </c>
      <c r="F85" s="24">
        <f>IF(AND(E85&gt;=16,E85&lt;66),0.01,ROUNDDOWN((E85-16)/50,0))</f>
        <v>0</v>
      </c>
      <c r="G85" s="13">
        <f>IF(AND(F85&gt;=1,F85&lt;=6),E85-F85*50-16,IF(F85=0.01,E85-16,IF(F85=0,0,IF(F85&gt;6,E85-316,0))))</f>
        <v>0</v>
      </c>
    </row>
    <row r="86" spans="1:7" ht="16.5">
      <c r="A86" s="14" t="s">
        <v>80</v>
      </c>
      <c r="B86" s="4">
        <f>VLOOKUP(A86,联盟DKP榜单!A$1:C$598,3,FALSE)-40*COUNTIF(扣分!A:A,A86)</f>
        <v>0</v>
      </c>
      <c r="C86" s="24">
        <f>50*COUNTIF(帮战总榜!A$1:AB$150,$A86)+40*COUNTIF(掠夺!A$1:AB$150,$A86)</f>
        <v>0</v>
      </c>
      <c r="D86" s="24">
        <f>20*COUNTIF(YY统计!A$2:M$150,$A86)</f>
        <v>0</v>
      </c>
      <c r="E86" s="24">
        <f>SUM(B86:D86)</f>
        <v>0</v>
      </c>
      <c r="F86" s="24">
        <f>IF(AND(E86&gt;=16,E86&lt;66),0.01,ROUNDDOWN((E86-16)/50,0))</f>
        <v>0</v>
      </c>
      <c r="G86" s="13">
        <f>IF(AND(F86&gt;=1,F86&lt;=6),E86-F86*50-16,IF(F86=0.01,E86-16,IF(F86=0,0,IF(F86&gt;6,E86-316,0))))</f>
        <v>0</v>
      </c>
    </row>
    <row r="87" spans="1:7" ht="16.5">
      <c r="A87" s="14" t="s">
        <v>591</v>
      </c>
      <c r="B87" s="4">
        <f>VLOOKUP(A87,联盟DKP榜单!A$1:C$598,3,FALSE)-40*COUNTIF(扣分!A:A,A87)</f>
        <v>0</v>
      </c>
      <c r="C87" s="24">
        <f>50*COUNTIF(帮战总榜!A$1:AB$150,$A87)+40*COUNTIF(掠夺!A$1:AB$150,$A87)</f>
        <v>0</v>
      </c>
      <c r="D87" s="24">
        <f>20*COUNTIF(YY统计!A$2:M$150,$A87)</f>
        <v>0</v>
      </c>
      <c r="E87" s="24">
        <f>SUM(B87:D87)</f>
        <v>0</v>
      </c>
      <c r="F87" s="24">
        <f>IF(AND(E87&gt;=16,E87&lt;66),0.01,ROUNDDOWN((E87-16)/50,0))</f>
        <v>0</v>
      </c>
      <c r="G87" s="13">
        <f>IF(AND(F87&gt;=1,F87&lt;=6),E87-F87*50-16,IF(F87=0.01,E87-16,IF(F87=0,0,IF(F87&gt;6,E87-316,0))))</f>
        <v>0</v>
      </c>
    </row>
    <row r="88" spans="1:7" ht="16.5">
      <c r="A88" s="14" t="s">
        <v>81</v>
      </c>
      <c r="B88" s="4">
        <f>VLOOKUP(A88,联盟DKP榜单!A$1:C$598,3,FALSE)-40*COUNTIF(扣分!A:A,A88)</f>
        <v>0</v>
      </c>
      <c r="C88" s="24">
        <f>50*COUNTIF(帮战总榜!A$1:AB$150,$A88)+40*COUNTIF(掠夺!A$1:AB$150,$A88)</f>
        <v>0</v>
      </c>
      <c r="D88" s="24">
        <f>20*COUNTIF(YY统计!A$2:M$150,$A88)</f>
        <v>0</v>
      </c>
      <c r="E88" s="24">
        <f>SUM(B88:D88)</f>
        <v>0</v>
      </c>
      <c r="F88" s="24">
        <f>IF(AND(E88&gt;=16,E88&lt;66),0.01,ROUNDDOWN((E88-16)/50,0))</f>
        <v>0</v>
      </c>
      <c r="G88" s="13">
        <f>IF(AND(F88&gt;=1,F88&lt;=6),E88-F88*50-16,IF(F88=0.01,E88-16,IF(F88=0,0,IF(F88&gt;6,E88-316,0))))</f>
        <v>0</v>
      </c>
    </row>
    <row r="89" spans="1:7" ht="16.5">
      <c r="A89" s="14" t="s">
        <v>593</v>
      </c>
      <c r="B89" s="4">
        <f>VLOOKUP(A89,联盟DKP榜单!A$1:C$598,3,FALSE)-40*COUNTIF(扣分!A:A,A89)</f>
        <v>0</v>
      </c>
      <c r="C89" s="24">
        <f>50*COUNTIF(帮战总榜!A$1:AB$150,$A89)+40*COUNTIF(掠夺!A$1:AB$150,$A89)</f>
        <v>0</v>
      </c>
      <c r="D89" s="24">
        <f>20*COUNTIF(YY统计!A$2:M$150,$A89)</f>
        <v>0</v>
      </c>
      <c r="E89" s="24">
        <f>SUM(B89:D89)</f>
        <v>0</v>
      </c>
      <c r="F89" s="24">
        <f>IF(AND(E89&gt;=16,E89&lt;66),0.01,ROUNDDOWN((E89-16)/50,0))</f>
        <v>0</v>
      </c>
      <c r="G89" s="13">
        <f>IF(AND(F89&gt;=1,F89&lt;=6),E89-F89*50-16,IF(F89=0.01,E89-16,IF(F89=0,0,IF(F89&gt;6,E89-316,0))))</f>
        <v>0</v>
      </c>
    </row>
    <row r="90" spans="1:7" ht="16.5">
      <c r="A90" s="14" t="s">
        <v>86</v>
      </c>
      <c r="B90" s="4">
        <f>VLOOKUP(A90,联盟DKP榜单!A$1:C$598,3,FALSE)-40*COUNTIF(扣分!A:A,A90)</f>
        <v>0</v>
      </c>
      <c r="C90" s="24">
        <f>50*COUNTIF(帮战总榜!A$1:AB$150,$A90)+40*COUNTIF(掠夺!A$1:AB$150,$A90)</f>
        <v>0</v>
      </c>
      <c r="D90" s="24">
        <f>20*COUNTIF(YY统计!A$2:M$150,$A90)</f>
        <v>0</v>
      </c>
      <c r="E90" s="24">
        <f>SUM(B90:D90)</f>
        <v>0</v>
      </c>
      <c r="F90" s="24">
        <f>IF(AND(E90&gt;=16,E90&lt;66),0.01,ROUNDDOWN((E90-16)/50,0))</f>
        <v>0</v>
      </c>
      <c r="G90" s="13">
        <f>IF(AND(F90&gt;=1,F90&lt;=6),E90-F90*50-16,IF(F90=0.01,E90-16,IF(F90=0,0,IF(F90&gt;6,E90-316,0))))</f>
        <v>0</v>
      </c>
    </row>
    <row r="91" spans="1:7" ht="16.5">
      <c r="A91" s="14" t="s">
        <v>87</v>
      </c>
      <c r="B91" s="4">
        <f>VLOOKUP(A91,联盟DKP榜单!A$1:C$598,3,FALSE)-40*COUNTIF(扣分!A:A,A91)</f>
        <v>0</v>
      </c>
      <c r="C91" s="24">
        <f>50*COUNTIF(帮战总榜!A$1:AB$150,$A91)+40*COUNTIF(掠夺!A$1:AB$150,$A91)</f>
        <v>0</v>
      </c>
      <c r="D91" s="24">
        <f>20*COUNTIF(YY统计!A$2:M$150,$A91)</f>
        <v>0</v>
      </c>
      <c r="E91" s="24">
        <f>SUM(B91:D91)</f>
        <v>0</v>
      </c>
      <c r="F91" s="24">
        <f>IF(AND(E91&gt;=16,E91&lt;66),0.01,ROUNDDOWN((E91-16)/50,0))</f>
        <v>0</v>
      </c>
      <c r="G91" s="13">
        <f>IF(AND(F91&gt;=1,F91&lt;=6),E91-F91*50-16,IF(F91=0.01,E91-16,IF(F91=0,0,IF(F91&gt;6,E91-316,0))))</f>
        <v>0</v>
      </c>
    </row>
    <row r="92" spans="1:7" ht="16.5">
      <c r="A92" s="14" t="s">
        <v>538</v>
      </c>
      <c r="B92" s="4">
        <f>VLOOKUP(A92,联盟DKP榜单!A$1:C$598,3,FALSE)-40*COUNTIF(扣分!A:A,A92)</f>
        <v>0</v>
      </c>
      <c r="C92" s="24">
        <f>50*COUNTIF(帮战总榜!A$1:AB$150,$A92)+40*COUNTIF(掠夺!A$1:AB$150,$A92)</f>
        <v>0</v>
      </c>
      <c r="D92" s="24">
        <f>20*COUNTIF(YY统计!A$2:M$150,$A92)</f>
        <v>0</v>
      </c>
      <c r="E92" s="24">
        <f>SUM(B92:D92)</f>
        <v>0</v>
      </c>
      <c r="F92" s="24">
        <f>IF(AND(E92&gt;=16,E92&lt;66),0.01,ROUNDDOWN((E92-16)/50,0))</f>
        <v>0</v>
      </c>
      <c r="G92" s="13">
        <f>IF(AND(F92&gt;=1,F92&lt;=6),E92-F92*50-16,IF(F92=0.01,E92-16,IF(F92=0,0,IF(F92&gt;6,E92-316,0))))</f>
        <v>0</v>
      </c>
    </row>
    <row r="93" spans="1:7" ht="16.5">
      <c r="A93" s="14" t="s">
        <v>88</v>
      </c>
      <c r="B93" s="4">
        <f>VLOOKUP(A93,联盟DKP榜单!A$1:C$598,3,FALSE)-40*COUNTIF(扣分!A:A,A93)</f>
        <v>0</v>
      </c>
      <c r="C93" s="24">
        <f>50*COUNTIF(帮战总榜!A$1:AB$150,$A93)+40*COUNTIF(掠夺!A$1:AB$150,$A93)</f>
        <v>0</v>
      </c>
      <c r="D93" s="24">
        <f>20*COUNTIF(YY统计!A$2:M$150,$A93)</f>
        <v>0</v>
      </c>
      <c r="E93" s="24">
        <f>SUM(B93:D93)</f>
        <v>0</v>
      </c>
      <c r="F93" s="24">
        <f>IF(AND(E93&gt;=16,E93&lt;66),0.01,ROUNDDOWN((E93-16)/50,0))</f>
        <v>0</v>
      </c>
      <c r="G93" s="13">
        <f>IF(AND(F93&gt;=1,F93&lt;=6),E93-F93*50-16,IF(F93=0.01,E93-16,IF(F93=0,0,IF(F93&gt;6,E93-316,0))))</f>
        <v>0</v>
      </c>
    </row>
    <row r="94" spans="1:7" ht="16.5">
      <c r="A94" s="14" t="s">
        <v>89</v>
      </c>
      <c r="B94" s="4">
        <f>VLOOKUP(A94,联盟DKP榜单!A$1:C$598,3,FALSE)-40*COUNTIF(扣分!A:A,A94)</f>
        <v>0</v>
      </c>
      <c r="C94" s="24">
        <f>50*COUNTIF(帮战总榜!A$1:AB$150,$A94)+40*COUNTIF(掠夺!A$1:AB$150,$A94)</f>
        <v>0</v>
      </c>
      <c r="D94" s="24">
        <f>20*COUNTIF(YY统计!A$2:M$150,$A94)</f>
        <v>0</v>
      </c>
      <c r="E94" s="24">
        <f>SUM(B94:D94)</f>
        <v>0</v>
      </c>
      <c r="F94" s="24">
        <f>IF(AND(E94&gt;=16,E94&lt;66),0.01,ROUNDDOWN((E94-16)/50,0))</f>
        <v>0</v>
      </c>
      <c r="G94" s="13">
        <f>IF(AND(F94&gt;=1,F94&lt;=6),E94-F94*50-16,IF(F94=0.01,E94-16,IF(F94=0,0,IF(F94&gt;6,E94-316,0))))</f>
        <v>0</v>
      </c>
    </row>
    <row r="95" spans="1:7" ht="16.5">
      <c r="A95" s="14" t="s">
        <v>90</v>
      </c>
      <c r="B95" s="4">
        <f>VLOOKUP(A95,联盟DKP榜单!A$1:C$598,3,FALSE)-40*COUNTIF(扣分!A:A,A95)</f>
        <v>0</v>
      </c>
      <c r="C95" s="24">
        <f>50*COUNTIF(帮战总榜!A$1:AB$150,$A95)+40*COUNTIF(掠夺!A$1:AB$150,$A95)</f>
        <v>0</v>
      </c>
      <c r="D95" s="24">
        <f>20*COUNTIF(YY统计!A$2:M$150,$A95)</f>
        <v>0</v>
      </c>
      <c r="E95" s="24">
        <f>SUM(B95:D95)</f>
        <v>0</v>
      </c>
      <c r="F95" s="24">
        <f>IF(AND(E95&gt;=16,E95&lt;66),0.01,ROUNDDOWN((E95-16)/50,0))</f>
        <v>0</v>
      </c>
      <c r="G95" s="13">
        <f>IF(AND(F95&gt;=1,F95&lt;=6),E95-F95*50-16,IF(F95=0.01,E95-16,IF(F95=0,0,IF(F95&gt;6,E95-316,0))))</f>
        <v>0</v>
      </c>
    </row>
    <row r="96" spans="1:7" ht="16.5">
      <c r="A96" s="14" t="s">
        <v>71</v>
      </c>
      <c r="B96" s="4">
        <f>VLOOKUP(A96,联盟DKP榜单!A$1:C$598,3,FALSE)-40*COUNTIF(扣分!A:A,A96)</f>
        <v>0</v>
      </c>
      <c r="C96" s="24">
        <f>50*COUNTIF(帮战总榜!A$1:AB$150,$A96)+40*COUNTIF(掠夺!A$1:AB$150,$A96)</f>
        <v>0</v>
      </c>
      <c r="D96" s="24">
        <f>20*COUNTIF(YY统计!A$2:M$150,$A96)</f>
        <v>0</v>
      </c>
      <c r="E96" s="24">
        <f>SUM(B96:D96)</f>
        <v>0</v>
      </c>
      <c r="F96" s="24">
        <f>IF(AND(E96&gt;=16,E96&lt;66),0.01,ROUNDDOWN((E96-16)/50,0))</f>
        <v>0</v>
      </c>
      <c r="G96" s="13">
        <f>IF(AND(F96&gt;=1,F96&lt;=6),E96-F96*50-16,IF(F96=0.01,E96-16,IF(F96=0,0,IF(F96&gt;6,E96-316,0))))</f>
        <v>0</v>
      </c>
    </row>
    <row r="97" spans="1:7" ht="16.5">
      <c r="A97" s="14" t="s">
        <v>72</v>
      </c>
      <c r="B97" s="4">
        <f>VLOOKUP(A97,联盟DKP榜单!A$1:C$598,3,FALSE)-40*COUNTIF(扣分!A:A,A97)</f>
        <v>0</v>
      </c>
      <c r="C97" s="24">
        <f>50*COUNTIF(帮战总榜!A$1:AB$150,$A97)+40*COUNTIF(掠夺!A$1:AB$150,$A97)</f>
        <v>0</v>
      </c>
      <c r="D97" s="24">
        <f>20*COUNTIF(YY统计!A$2:M$150,$A97)</f>
        <v>0</v>
      </c>
      <c r="E97" s="24">
        <f>SUM(B97:D97)</f>
        <v>0</v>
      </c>
      <c r="F97" s="24">
        <f>IF(AND(E97&gt;=16,E97&lt;66),0.01,ROUNDDOWN((E97-16)/50,0))</f>
        <v>0</v>
      </c>
      <c r="G97" s="13">
        <f>IF(AND(F97&gt;=1,F97&lt;=6),E97-F97*50-16,IF(F97=0.01,E97-16,IF(F97=0,0,IF(F97&gt;6,E97-316,0))))</f>
        <v>0</v>
      </c>
    </row>
    <row r="98" spans="1:7" ht="16.5">
      <c r="A98" s="14" t="s">
        <v>73</v>
      </c>
      <c r="B98" s="4">
        <f>VLOOKUP(A98,联盟DKP榜单!A$1:C$598,3,FALSE)-40*COUNTIF(扣分!A:A,A98)</f>
        <v>0</v>
      </c>
      <c r="C98" s="24">
        <f>50*COUNTIF(帮战总榜!A$1:AB$150,$A98)+40*COUNTIF(掠夺!A$1:AB$150,$A98)</f>
        <v>0</v>
      </c>
      <c r="D98" s="24">
        <f>20*COUNTIF(YY统计!A$2:M$150,$A98)</f>
        <v>0</v>
      </c>
      <c r="E98" s="24">
        <f>SUM(B98:D98)</f>
        <v>0</v>
      </c>
      <c r="F98" s="24">
        <f>IF(AND(E98&gt;=16,E98&lt;66),0.01,ROUNDDOWN((E98-16)/50,0))</f>
        <v>0</v>
      </c>
      <c r="G98" s="13">
        <f>IF(AND(F98&gt;=1,F98&lt;=6),E98-F98*50-16,IF(F98=0.01,E98-16,IF(F98=0,0,IF(F98&gt;6,E98-316,0))))</f>
        <v>0</v>
      </c>
    </row>
    <row r="99" spans="1:7" ht="16.5">
      <c r="A99" s="14" t="s">
        <v>101</v>
      </c>
      <c r="B99" s="4">
        <f>VLOOKUP(A99,联盟DKP榜单!A$1:C$598,3,FALSE)-40*COUNTIF(扣分!A:A,A99)</f>
        <v>0</v>
      </c>
      <c r="C99" s="24">
        <f>50*COUNTIF(帮战总榜!A$1:AB$150,$A99)+40*COUNTIF(掠夺!A$1:AB$150,$A99)</f>
        <v>0</v>
      </c>
      <c r="D99" s="24">
        <f>20*COUNTIF(YY统计!A$2:M$150,$A99)</f>
        <v>0</v>
      </c>
      <c r="E99" s="24">
        <f>SUM(B99:D99)</f>
        <v>0</v>
      </c>
      <c r="F99" s="24">
        <f>IF(AND(E99&gt;=16,E99&lt;66),0.01,ROUNDDOWN((E99-16)/50,0))</f>
        <v>0</v>
      </c>
      <c r="G99" s="13">
        <f>IF(AND(F99&gt;=1,F99&lt;=6),E99-F99*50-16,IF(F99=0.01,E99-16,IF(F99=0,0,IF(F99&gt;6,E99-316,0))))</f>
        <v>0</v>
      </c>
    </row>
    <row r="100" spans="1:7" ht="16.5">
      <c r="A100" s="14" t="s">
        <v>432</v>
      </c>
      <c r="B100" s="4">
        <f>VLOOKUP(A100,联盟DKP榜单!A$1:C$598,3,FALSE)-40*COUNTIF(扣分!A:A,A100)</f>
        <v>0</v>
      </c>
      <c r="C100" s="24">
        <f>50*COUNTIF(帮战总榜!A$1:AB$150,$A100)+40*COUNTIF(掠夺!A$1:AB$150,$A100)</f>
        <v>0</v>
      </c>
      <c r="D100" s="24">
        <f>20*COUNTIF(YY统计!A$2:M$150,$A100)</f>
        <v>0</v>
      </c>
      <c r="E100" s="24">
        <f>SUM(B100:D100)</f>
        <v>0</v>
      </c>
      <c r="F100" s="24">
        <f>IF(AND(E100&gt;=16,E100&lt;66),0.01,ROUNDDOWN((E100-16)/50,0))</f>
        <v>0</v>
      </c>
      <c r="G100" s="13">
        <f>IF(AND(F100&gt;=1,F100&lt;=6),E100-F100*50-16,IF(F100=0.01,E100-16,IF(F100=0,0,IF(F100&gt;6,E100-316,0))))</f>
        <v>0</v>
      </c>
    </row>
    <row r="101" spans="1:7" ht="16.5">
      <c r="A101" s="14" t="s">
        <v>102</v>
      </c>
      <c r="B101" s="4">
        <f>VLOOKUP(A101,联盟DKP榜单!A$1:C$598,3,FALSE)-40*COUNTIF(扣分!A:A,A101)</f>
        <v>0</v>
      </c>
      <c r="C101" s="24">
        <f>50*COUNTIF(帮战总榜!A$1:AB$150,$A101)+40*COUNTIF(掠夺!A$1:AB$150,$A101)</f>
        <v>0</v>
      </c>
      <c r="D101" s="24">
        <f>20*COUNTIF(YY统计!A$2:M$150,$A101)</f>
        <v>0</v>
      </c>
      <c r="E101" s="24">
        <f>SUM(B101:D101)</f>
        <v>0</v>
      </c>
      <c r="F101" s="24">
        <f>IF(AND(E101&gt;=16,E101&lt;66),0.01,ROUNDDOWN((E101-16)/50,0))</f>
        <v>0</v>
      </c>
      <c r="G101" s="13">
        <f>IF(AND(F101&gt;=1,F101&lt;=6),E101-F101*50-16,IF(F101=0.01,E101-16,IF(F101=0,0,IF(F101&gt;6,E101-316,0))))</f>
        <v>0</v>
      </c>
    </row>
    <row r="102" spans="1:7" ht="16.5">
      <c r="A102" s="14" t="s">
        <v>103</v>
      </c>
      <c r="B102" s="4">
        <f>VLOOKUP(A102,联盟DKP榜单!A$1:C$598,3,FALSE)-40*COUNTIF(扣分!A:A,A102)</f>
        <v>0</v>
      </c>
      <c r="C102" s="24">
        <f>50*COUNTIF(帮战总榜!A$1:AB$150,$A102)+40*COUNTIF(掠夺!A$1:AB$150,$A102)</f>
        <v>0</v>
      </c>
      <c r="D102" s="24">
        <f>20*COUNTIF(YY统计!A$2:M$150,$A102)</f>
        <v>0</v>
      </c>
      <c r="E102" s="24">
        <f>SUM(B102:D102)</f>
        <v>0</v>
      </c>
      <c r="F102" s="24">
        <f>IF(AND(E102&gt;=16,E102&lt;66),0.01,ROUNDDOWN((E102-16)/50,0))</f>
        <v>0</v>
      </c>
      <c r="G102" s="13">
        <f>IF(AND(F102&gt;=1,F102&lt;=6),E102-F102*50-16,IF(F102=0.01,E102-16,IF(F102=0,0,IF(F102&gt;6,E102-316,0))))</f>
        <v>0</v>
      </c>
    </row>
    <row r="103" spans="1:7" ht="16.5">
      <c r="A103" s="14" t="s">
        <v>104</v>
      </c>
      <c r="B103" s="4">
        <f>VLOOKUP(A103,联盟DKP榜单!A$1:C$598,3,FALSE)-40*COUNTIF(扣分!A:A,A103)</f>
        <v>0</v>
      </c>
      <c r="C103" s="24">
        <f>50*COUNTIF(帮战总榜!A$1:AB$150,$A103)+40*COUNTIF(掠夺!A$1:AB$150,$A103)</f>
        <v>0</v>
      </c>
      <c r="D103" s="24">
        <f>20*COUNTIF(YY统计!A$2:M$150,$A103)</f>
        <v>0</v>
      </c>
      <c r="E103" s="24">
        <f>SUM(B103:D103)</f>
        <v>0</v>
      </c>
      <c r="F103" s="24">
        <f>IF(AND(E103&gt;=16,E103&lt;66),0.01,ROUNDDOWN((E103-16)/50,0))</f>
        <v>0</v>
      </c>
      <c r="G103" s="13">
        <f>IF(AND(F103&gt;=1,F103&lt;=6),E103-F103*50-16,IF(F103=0.01,E103-16,IF(F103=0,0,IF(F103&gt;6,E103-316,0))))</f>
        <v>0</v>
      </c>
    </row>
    <row r="104" spans="1:7" ht="16.5">
      <c r="A104" s="14" t="s">
        <v>599</v>
      </c>
      <c r="B104" s="4">
        <f>VLOOKUP(A104,联盟DKP榜单!A$1:C$598,3,FALSE)-40*COUNTIF(扣分!A:A,A104)</f>
        <v>0</v>
      </c>
      <c r="C104" s="24">
        <f>50*COUNTIF(帮战总榜!A$1:AB$150,$A104)+40*COUNTIF(掠夺!A$1:AB$150,$A104)</f>
        <v>0</v>
      </c>
      <c r="D104" s="24">
        <f>20*COUNTIF(YY统计!A$2:M$150,$A104)</f>
        <v>0</v>
      </c>
      <c r="E104" s="24">
        <f>SUM(B104:D104)</f>
        <v>0</v>
      </c>
      <c r="F104" s="24">
        <f>IF(AND(E104&gt;=16,E104&lt;66),0.01,ROUNDDOWN((E104-16)/50,0))</f>
        <v>0</v>
      </c>
      <c r="G104" s="13">
        <f>IF(AND(F104&gt;=1,F104&lt;=6),E104-F104*50-16,IF(F104=0.01,E104-16,IF(F104=0,0,IF(F104&gt;6,E104-316,0))))</f>
        <v>0</v>
      </c>
    </row>
    <row r="105" spans="1:7" ht="16.5">
      <c r="A105" s="14" t="s">
        <v>105</v>
      </c>
      <c r="B105" s="4">
        <f>VLOOKUP(A105,联盟DKP榜单!A$1:C$598,3,FALSE)-40*COUNTIF(扣分!A:A,A105)</f>
        <v>0</v>
      </c>
      <c r="C105" s="24">
        <f>50*COUNTIF(帮战总榜!A$1:AB$150,$A105)+40*COUNTIF(掠夺!A$1:AB$150,$A105)</f>
        <v>0</v>
      </c>
      <c r="D105" s="24">
        <f>20*COUNTIF(YY统计!A$2:M$150,$A105)</f>
        <v>0</v>
      </c>
      <c r="E105" s="24">
        <f>SUM(B105:D105)</f>
        <v>0</v>
      </c>
      <c r="F105" s="24">
        <f>IF(AND(E105&gt;=16,E105&lt;66),0.01,ROUNDDOWN((E105-16)/50,0))</f>
        <v>0</v>
      </c>
      <c r="G105" s="13">
        <f>IF(AND(F105&gt;=1,F105&lt;=6),E105-F105*50-16,IF(F105=0.01,E105-16,IF(F105=0,0,IF(F105&gt;6,E105-316,0))))</f>
        <v>0</v>
      </c>
    </row>
    <row r="106" spans="1:7" ht="16.5">
      <c r="A106" s="14" t="s">
        <v>106</v>
      </c>
      <c r="B106" s="4">
        <f>VLOOKUP(A106,联盟DKP榜单!A$1:C$598,3,FALSE)-40*COUNTIF(扣分!A:A,A106)</f>
        <v>0</v>
      </c>
      <c r="C106" s="24">
        <f>50*COUNTIF(帮战总榜!A$1:AB$150,$A106)+40*COUNTIF(掠夺!A$1:AB$150,$A106)</f>
        <v>0</v>
      </c>
      <c r="D106" s="24">
        <f>20*COUNTIF(YY统计!A$2:M$150,$A106)</f>
        <v>0</v>
      </c>
      <c r="E106" s="24">
        <f>SUM(B106:D106)</f>
        <v>0</v>
      </c>
      <c r="F106" s="24">
        <f>IF(AND(E106&gt;=16,E106&lt;66),0.01,ROUNDDOWN((E106-16)/50,0))</f>
        <v>0</v>
      </c>
      <c r="G106" s="13">
        <f>IF(AND(F106&gt;=1,F106&lt;=6),E106-F106*50-16,IF(F106=0.01,E106-16,IF(F106=0,0,IF(F106&gt;6,E106-316,0))))</f>
        <v>0</v>
      </c>
    </row>
    <row r="107" spans="1:7" ht="16.5">
      <c r="A107" s="14" t="s">
        <v>107</v>
      </c>
      <c r="B107" s="4">
        <f>VLOOKUP(A107,联盟DKP榜单!A$1:C$598,3,FALSE)-40*COUNTIF(扣分!A:A,A107)</f>
        <v>0</v>
      </c>
      <c r="C107" s="24">
        <f>50*COUNTIF(帮战总榜!A$1:AB$150,$A107)+40*COUNTIF(掠夺!A$1:AB$150,$A107)</f>
        <v>0</v>
      </c>
      <c r="D107" s="24">
        <f>20*COUNTIF(YY统计!A$2:M$150,$A107)</f>
        <v>0</v>
      </c>
      <c r="E107" s="24">
        <f>SUM(B107:D107)</f>
        <v>0</v>
      </c>
      <c r="F107" s="24">
        <f>IF(AND(E107&gt;=16,E107&lt;66),0.01,ROUNDDOWN((E107-16)/50,0))</f>
        <v>0</v>
      </c>
      <c r="G107" s="13">
        <f>IF(AND(F107&gt;=1,F107&lt;=6),E107-F107*50-16,IF(F107=0.01,E107-16,IF(F107=0,0,IF(F107&gt;6,E107-316,0))))</f>
        <v>0</v>
      </c>
    </row>
    <row r="108" spans="1:7" ht="16.5">
      <c r="A108" s="14" t="s">
        <v>108</v>
      </c>
      <c r="B108" s="4">
        <f>VLOOKUP(A108,联盟DKP榜单!A$1:C$598,3,FALSE)-40*COUNTIF(扣分!A:A,A108)</f>
        <v>0</v>
      </c>
      <c r="C108" s="24">
        <f>50*COUNTIF(帮战总榜!A$1:AB$150,$A108)+40*COUNTIF(掠夺!A$1:AB$150,$A108)</f>
        <v>0</v>
      </c>
      <c r="D108" s="24">
        <f>20*COUNTIF(YY统计!A$2:M$150,$A108)</f>
        <v>0</v>
      </c>
      <c r="E108" s="24">
        <f>SUM(B108:D108)</f>
        <v>0</v>
      </c>
      <c r="F108" s="24">
        <f>IF(AND(E108&gt;=16,E108&lt;66),0.01,ROUNDDOWN((E108-16)/50,0))</f>
        <v>0</v>
      </c>
      <c r="G108" s="13">
        <f>IF(AND(F108&gt;=1,F108&lt;=6),E108-F108*50-16,IF(F108=0.01,E108-16,IF(F108=0,0,IF(F108&gt;6,E108-316,0))))</f>
        <v>0</v>
      </c>
    </row>
    <row r="109" spans="1:7" ht="16.5">
      <c r="A109" s="14" t="s">
        <v>109</v>
      </c>
      <c r="B109" s="4">
        <f>VLOOKUP(A109,联盟DKP榜单!A$1:C$598,3,FALSE)-40*COUNTIF(扣分!A:A,A109)</f>
        <v>0</v>
      </c>
      <c r="C109" s="24">
        <f>50*COUNTIF(帮战总榜!A$1:AB$150,$A109)+40*COUNTIF(掠夺!A$1:AB$150,$A109)</f>
        <v>0</v>
      </c>
      <c r="D109" s="24">
        <f>20*COUNTIF(YY统计!A$2:M$150,$A109)</f>
        <v>0</v>
      </c>
      <c r="E109" s="24">
        <f>SUM(B109:D109)</f>
        <v>0</v>
      </c>
      <c r="F109" s="24">
        <f>IF(AND(E109&gt;=16,E109&lt;66),0.01,ROUNDDOWN((E109-16)/50,0))</f>
        <v>0</v>
      </c>
      <c r="G109" s="13">
        <f>IF(AND(F109&gt;=1,F109&lt;=6),E109-F109*50-16,IF(F109=0.01,E109-16,IF(F109=0,0,IF(F109&gt;6,E109-316,0))))</f>
        <v>0</v>
      </c>
    </row>
    <row r="110" spans="1:7" ht="16.5">
      <c r="A110" s="14" t="s">
        <v>431</v>
      </c>
      <c r="B110" s="4">
        <f>VLOOKUP(A110,联盟DKP榜单!A$1:C$598,3,FALSE)-40*COUNTIF(扣分!A:A,A110)</f>
        <v>-40</v>
      </c>
      <c r="C110" s="24">
        <f>50*COUNTIF(帮战总榜!A$1:AB$150,$A110)+40*COUNTIF(掠夺!A$1:AB$150,$A110)</f>
        <v>40</v>
      </c>
      <c r="D110" s="24">
        <f>20*COUNTIF(YY统计!A$2:M$150,$A110)</f>
        <v>0</v>
      </c>
      <c r="E110" s="24">
        <f>SUM(B110:D110)</f>
        <v>0</v>
      </c>
      <c r="F110" s="24">
        <f>IF(AND(E110&gt;=16,E110&lt;66),0.01,ROUNDDOWN((E110-16)/50,0))</f>
        <v>0</v>
      </c>
      <c r="G110" s="13">
        <f>IF(AND(F110&gt;=1,F110&lt;=6),E110-F110*50-16,IF(F110=0.01,E110-16,IF(F110=0,0,IF(F110&gt;6,E110-316,0))))</f>
        <v>0</v>
      </c>
    </row>
    <row r="111" spans="1:7" ht="16.5">
      <c r="A111" s="14" t="s">
        <v>536</v>
      </c>
      <c r="B111" s="4">
        <f>VLOOKUP(A111,联盟DKP榜单!A$1:C$598,3,FALSE)-40*COUNTIF(扣分!A:A,A111)</f>
        <v>0</v>
      </c>
      <c r="C111" s="24">
        <f>50*COUNTIF(帮战总榜!A$1:AB$150,$A111)+40*COUNTIF(掠夺!A$1:AB$150,$A111)</f>
        <v>0</v>
      </c>
      <c r="D111" s="24">
        <f>20*COUNTIF(YY统计!A$2:M$150,$A111)</f>
        <v>0</v>
      </c>
      <c r="E111" s="24">
        <f>SUM(B111:D111)</f>
        <v>0</v>
      </c>
      <c r="F111" s="24">
        <f>IF(AND(E111&gt;=16,E111&lt;66),0.01,ROUNDDOWN((E111-16)/50,0))</f>
        <v>0</v>
      </c>
      <c r="G111" s="13">
        <f>IF(AND(F111&gt;=1,F111&lt;=6),E111-F111*50-16,IF(F111=0.01,E111-16,IF(F111=0,0,IF(F111&gt;6,E111-316,0))))</f>
        <v>0</v>
      </c>
    </row>
    <row r="112" spans="1:7" ht="16.5">
      <c r="A112" s="14" t="s">
        <v>110</v>
      </c>
      <c r="B112" s="4">
        <f>VLOOKUP(A112,联盟DKP榜单!A$1:C$598,3,FALSE)-40*COUNTIF(扣分!A:A,A112)</f>
        <v>0</v>
      </c>
      <c r="C112" s="24">
        <f>50*COUNTIF(帮战总榜!A$1:AB$150,$A112)+40*COUNTIF(掠夺!A$1:AB$150,$A112)</f>
        <v>0</v>
      </c>
      <c r="D112" s="24">
        <f>20*COUNTIF(YY统计!A$2:M$150,$A112)</f>
        <v>0</v>
      </c>
      <c r="E112" s="24">
        <f>SUM(B112:D112)</f>
        <v>0</v>
      </c>
      <c r="F112" s="24">
        <f>IF(AND(E112&gt;=16,E112&lt;66),0.01,ROUNDDOWN((E112-16)/50,0))</f>
        <v>0</v>
      </c>
      <c r="G112" s="13">
        <f>IF(AND(F112&gt;=1,F112&lt;=6),E112-F112*50-16,IF(F112=0.01,E112-16,IF(F112=0,0,IF(F112&gt;6,E112-316,0))))</f>
        <v>0</v>
      </c>
    </row>
    <row r="113" spans="1:7" ht="16.5">
      <c r="A113" s="14" t="s">
        <v>602</v>
      </c>
      <c r="B113" s="4">
        <f>VLOOKUP(A113,联盟DKP榜单!A$1:C$598,3,FALSE)-40*COUNTIF(扣分!A:A,A113)</f>
        <v>0</v>
      </c>
      <c r="C113" s="24">
        <f>50*COUNTIF(帮战总榜!A$1:AB$150,$A113)+40*COUNTIF(掠夺!A$1:AB$150,$A113)</f>
        <v>0</v>
      </c>
      <c r="D113" s="24">
        <f>20*COUNTIF(YY统计!A$2:M$150,$A113)</f>
        <v>0</v>
      </c>
      <c r="E113" s="24">
        <f>SUM(B113:D113)</f>
        <v>0</v>
      </c>
      <c r="F113" s="24">
        <f>IF(AND(E113&gt;=16,E113&lt;66),0.01,ROUNDDOWN((E113-16)/50,0))</f>
        <v>0</v>
      </c>
      <c r="G113" s="13">
        <f>IF(AND(F113&gt;=1,F113&lt;=6),E113-F113*50-16,IF(F113=0.01,E113-16,IF(F113=0,0,IF(F113&gt;6,E113-316,0))))</f>
        <v>0</v>
      </c>
    </row>
    <row r="114" spans="1:7" ht="16.5">
      <c r="A114" s="14" t="s">
        <v>111</v>
      </c>
      <c r="B114" s="4">
        <f>VLOOKUP(A114,联盟DKP榜单!A$1:C$598,3,FALSE)-40*COUNTIF(扣分!A:A,A114)</f>
        <v>0</v>
      </c>
      <c r="C114" s="24">
        <f>50*COUNTIF(帮战总榜!A$1:AB$150,$A114)+40*COUNTIF(掠夺!A$1:AB$150,$A114)</f>
        <v>0</v>
      </c>
      <c r="D114" s="24">
        <f>20*COUNTIF(YY统计!A$2:M$150,$A114)</f>
        <v>0</v>
      </c>
      <c r="E114" s="24">
        <f>SUM(B114:D114)</f>
        <v>0</v>
      </c>
      <c r="F114" s="24">
        <f>IF(AND(E114&gt;=16,E114&lt;66),0.01,ROUNDDOWN((E114-16)/50,0))</f>
        <v>0</v>
      </c>
      <c r="G114" s="13">
        <f>IF(AND(F114&gt;=1,F114&lt;=6),E114-F114*50-16,IF(F114=0.01,E114-16,IF(F114=0,0,IF(F114&gt;6,E114-316,0))))</f>
        <v>0</v>
      </c>
    </row>
    <row r="115" spans="1:7" ht="16.5">
      <c r="A115" s="14" t="s">
        <v>604</v>
      </c>
      <c r="B115" s="4">
        <f>VLOOKUP(A115,联盟DKP榜单!A$1:C$598,3,FALSE)-40*COUNTIF(扣分!A:A,A115)</f>
        <v>0</v>
      </c>
      <c r="C115" s="24">
        <f>50*COUNTIF(帮战总榜!A$1:AB$150,$A115)+40*COUNTIF(掠夺!A$1:AB$150,$A115)</f>
        <v>0</v>
      </c>
      <c r="D115" s="24">
        <f>20*COUNTIF(YY统计!A$2:M$150,$A115)</f>
        <v>0</v>
      </c>
      <c r="E115" s="24">
        <f>SUM(B115:D115)</f>
        <v>0</v>
      </c>
      <c r="F115" s="24">
        <f>IF(AND(E115&gt;=16,E115&lt;66),0.01,ROUNDDOWN((E115-16)/50,0))</f>
        <v>0</v>
      </c>
      <c r="G115" s="13">
        <f>IF(AND(F115&gt;=1,F115&lt;=6),E115-F115*50-16,IF(F115=0.01,E115-16,IF(F115=0,0,IF(F115&gt;6,E115-316,0))))</f>
        <v>0</v>
      </c>
    </row>
    <row r="116" spans="1:7" ht="16.5">
      <c r="A116" s="14" t="s">
        <v>605</v>
      </c>
      <c r="B116" s="4">
        <f>VLOOKUP(A116,联盟DKP榜单!A$1:C$598,3,FALSE)-40*COUNTIF(扣分!A:A,A116)</f>
        <v>0</v>
      </c>
      <c r="C116" s="24">
        <f>50*COUNTIF(帮战总榜!A$1:AB$150,$A116)+40*COUNTIF(掠夺!A$1:AB$150,$A116)</f>
        <v>0</v>
      </c>
      <c r="D116" s="24">
        <f>20*COUNTIF(YY统计!A$2:M$150,$A116)</f>
        <v>0</v>
      </c>
      <c r="E116" s="24">
        <f>SUM(B116:D116)</f>
        <v>0</v>
      </c>
      <c r="F116" s="24">
        <f>IF(AND(E116&gt;=16,E116&lt;66),0.01,ROUNDDOWN((E116-16)/50,0))</f>
        <v>0</v>
      </c>
      <c r="G116" s="13">
        <f>IF(AND(F116&gt;=1,F116&lt;=6),E116-F116*50-16,IF(F116=0.01,E116-16,IF(F116=0,0,IF(F116&gt;6,E116-316,0))))</f>
        <v>0</v>
      </c>
    </row>
    <row r="117" spans="1:7" ht="16.5">
      <c r="A117" s="14" t="s">
        <v>100</v>
      </c>
      <c r="B117" s="4">
        <f>VLOOKUP(A117,联盟DKP榜单!A$1:C$598,3,FALSE)-40*COUNTIF(扣分!A:A,A117)</f>
        <v>0</v>
      </c>
      <c r="C117" s="24">
        <f>50*COUNTIF(帮战总榜!A$1:AB$150,$A117)+40*COUNTIF(掠夺!A$1:AB$150,$A117)</f>
        <v>0</v>
      </c>
      <c r="D117" s="24">
        <f>20*COUNTIF(YY统计!A$2:M$150,$A117)</f>
        <v>0</v>
      </c>
      <c r="E117" s="24">
        <f>SUM(B117:D117)</f>
        <v>0</v>
      </c>
      <c r="F117" s="24">
        <f>IF(AND(E117&gt;=16,E117&lt;66),0.01,ROUNDDOWN((E117-16)/50,0))</f>
        <v>0</v>
      </c>
      <c r="G117" s="13">
        <f>IF(AND(F117&gt;=1,F117&lt;=6),E117-F117*50-16,IF(F117=0.01,E117-16,IF(F117=0,0,IF(F117&gt;6,E117-316,0))))</f>
        <v>0</v>
      </c>
    </row>
    <row r="118" spans="1:7" ht="16.5">
      <c r="A118" s="14" t="s">
        <v>125</v>
      </c>
      <c r="B118" s="4">
        <f>VLOOKUP(A118,联盟DKP榜单!A$1:C$598,3,FALSE)-40*COUNTIF(扣分!A:A,A118)</f>
        <v>0</v>
      </c>
      <c r="C118" s="24">
        <f>50*COUNTIF(帮战总榜!A$1:AB$150,$A118)+40*COUNTIF(掠夺!A$1:AB$150,$A118)</f>
        <v>0</v>
      </c>
      <c r="D118" s="24">
        <f>20*COUNTIF(YY统计!A$2:M$150,$A118)</f>
        <v>0</v>
      </c>
      <c r="E118" s="24">
        <f>SUM(B118:D118)</f>
        <v>0</v>
      </c>
      <c r="F118" s="24">
        <f>IF(AND(E118&gt;=16,E118&lt;66),0.01,ROUNDDOWN((E118-16)/50,0))</f>
        <v>0</v>
      </c>
      <c r="G118" s="13">
        <f>IF(AND(F118&gt;=1,F118&lt;=6),E118-F118*50-16,IF(F118=0.01,E118-16,IF(F118=0,0,IF(F118&gt;6,E118-316,0))))</f>
        <v>0</v>
      </c>
    </row>
    <row r="119" spans="1:7" ht="16.5">
      <c r="A119" s="14" t="s">
        <v>127</v>
      </c>
      <c r="B119" s="4">
        <f>VLOOKUP(A119,联盟DKP榜单!A$1:C$598,3,FALSE)-40*COUNTIF(扣分!A:A,A119)</f>
        <v>0</v>
      </c>
      <c r="C119" s="24">
        <f>50*COUNTIF(帮战总榜!A$1:AB$150,$A119)+40*COUNTIF(掠夺!A$1:AB$150,$A119)</f>
        <v>0</v>
      </c>
      <c r="D119" s="24">
        <f>20*COUNTIF(YY统计!A$2:M$150,$A119)</f>
        <v>0</v>
      </c>
      <c r="E119" s="24">
        <f>SUM(B119:D119)</f>
        <v>0</v>
      </c>
      <c r="F119" s="24">
        <f>IF(AND(E119&gt;=16,E119&lt;66),0.01,ROUNDDOWN((E119-16)/50,0))</f>
        <v>0</v>
      </c>
      <c r="G119" s="13">
        <f>IF(AND(F119&gt;=1,F119&lt;=6),E119-F119*50-16,IF(F119=0.01,E119-16,IF(F119=0,0,IF(F119&gt;6,E119-316,0))))</f>
        <v>0</v>
      </c>
    </row>
    <row r="120" spans="1:7" ht="16.5">
      <c r="A120" s="14" t="s">
        <v>606</v>
      </c>
      <c r="B120" s="4">
        <f>VLOOKUP(A120,联盟DKP榜单!A$1:C$598,3,FALSE)-40*COUNTIF(扣分!A:A,A120)</f>
        <v>0</v>
      </c>
      <c r="C120" s="24">
        <f>50*COUNTIF(帮战总榜!A$1:AB$150,$A120)+40*COUNTIF(掠夺!A$1:AB$150,$A120)</f>
        <v>0</v>
      </c>
      <c r="D120" s="24">
        <f>20*COUNTIF(YY统计!A$2:M$150,$A120)</f>
        <v>0</v>
      </c>
      <c r="E120" s="24">
        <f>SUM(B120:D120)</f>
        <v>0</v>
      </c>
      <c r="F120" s="24">
        <f>IF(AND(E120&gt;=16,E120&lt;66),0.01,ROUNDDOWN((E120-16)/50,0))</f>
        <v>0</v>
      </c>
      <c r="G120" s="13">
        <f>IF(AND(F120&gt;=1,F120&lt;=6),E120-F120*50-16,IF(F120=0.01,E120-16,IF(F120=0,0,IF(F120&gt;6,E120-316,0))))</f>
        <v>0</v>
      </c>
    </row>
    <row r="121" spans="1:7" ht="16.5">
      <c r="A121" s="14" t="s">
        <v>128</v>
      </c>
      <c r="B121" s="4">
        <f>VLOOKUP(A121,联盟DKP榜单!A$1:C$598,3,FALSE)-40*COUNTIF(扣分!A:A,A121)</f>
        <v>0</v>
      </c>
      <c r="C121" s="24">
        <f>50*COUNTIF(帮战总榜!A$1:AB$150,$A121)+40*COUNTIF(掠夺!A$1:AB$150,$A121)</f>
        <v>0</v>
      </c>
      <c r="D121" s="24">
        <f>20*COUNTIF(YY统计!A$2:M$150,$A121)</f>
        <v>0</v>
      </c>
      <c r="E121" s="24">
        <f>SUM(B121:D121)</f>
        <v>0</v>
      </c>
      <c r="F121" s="24">
        <f>IF(AND(E121&gt;=16,E121&lt;66),0.01,ROUNDDOWN((E121-16)/50,0))</f>
        <v>0</v>
      </c>
      <c r="G121" s="13">
        <f>IF(AND(F121&gt;=1,F121&lt;=6),E121-F121*50-16,IF(F121=0.01,E121-16,IF(F121=0,0,IF(F121&gt;6,E121-316,0))))</f>
        <v>0</v>
      </c>
    </row>
    <row r="122" spans="1:7" ht="16.5">
      <c r="A122" s="14" t="s">
        <v>129</v>
      </c>
      <c r="B122" s="4">
        <f>VLOOKUP(A122,联盟DKP榜单!A$1:C$598,3,FALSE)-40*COUNTIF(扣分!A:A,A122)</f>
        <v>0</v>
      </c>
      <c r="C122" s="24">
        <f>50*COUNTIF(帮战总榜!A$1:AB$150,$A122)+40*COUNTIF(掠夺!A$1:AB$150,$A122)</f>
        <v>0</v>
      </c>
      <c r="D122" s="24">
        <f>20*COUNTIF(YY统计!A$2:M$150,$A122)</f>
        <v>0</v>
      </c>
      <c r="E122" s="24">
        <f>SUM(B122:D122)</f>
        <v>0</v>
      </c>
      <c r="F122" s="24">
        <f>IF(AND(E122&gt;=16,E122&lt;66),0.01,ROUNDDOWN((E122-16)/50,0))</f>
        <v>0</v>
      </c>
      <c r="G122" s="13">
        <f>IF(AND(F122&gt;=1,F122&lt;=6),E122-F122*50-16,IF(F122=0.01,E122-16,IF(F122=0,0,IF(F122&gt;6,E122-316,0))))</f>
        <v>0</v>
      </c>
    </row>
    <row r="123" spans="1:7" ht="16.5">
      <c r="A123" s="14" t="s">
        <v>130</v>
      </c>
      <c r="B123" s="4">
        <f>VLOOKUP(A123,联盟DKP榜单!A$1:C$598,3,FALSE)-40*COUNTIF(扣分!A:A,A123)</f>
        <v>0</v>
      </c>
      <c r="C123" s="24">
        <f>50*COUNTIF(帮战总榜!A$1:AB$150,$A123)+40*COUNTIF(掠夺!A$1:AB$150,$A123)</f>
        <v>0</v>
      </c>
      <c r="D123" s="24">
        <f>20*COUNTIF(YY统计!A$2:M$150,$A123)</f>
        <v>0</v>
      </c>
      <c r="E123" s="24">
        <f>SUM(B123:D123)</f>
        <v>0</v>
      </c>
      <c r="F123" s="24">
        <f>IF(AND(E123&gt;=16,E123&lt;66),0.01,ROUNDDOWN((E123-16)/50,0))</f>
        <v>0</v>
      </c>
      <c r="G123" s="13">
        <f>IF(AND(F123&gt;=1,F123&lt;=6),E123-F123*50-16,IF(F123=0.01,E123-16,IF(F123=0,0,IF(F123&gt;6,E123-316,0))))</f>
        <v>0</v>
      </c>
    </row>
    <row r="124" spans="1:7" ht="16.5">
      <c r="A124" s="14" t="s">
        <v>607</v>
      </c>
      <c r="B124" s="4">
        <f>VLOOKUP(A124,联盟DKP榜单!A$1:C$598,3,FALSE)-40*COUNTIF(扣分!A:A,A124)</f>
        <v>0</v>
      </c>
      <c r="C124" s="24">
        <f>50*COUNTIF(帮战总榜!A$1:AB$150,$A124)+40*COUNTIF(掠夺!A$1:AB$150,$A124)</f>
        <v>0</v>
      </c>
      <c r="D124" s="24">
        <f>20*COUNTIF(YY统计!A$2:M$150,$A124)</f>
        <v>0</v>
      </c>
      <c r="E124" s="24">
        <f>SUM(B124:D124)</f>
        <v>0</v>
      </c>
      <c r="F124" s="24">
        <f>IF(AND(E124&gt;=16,E124&lt;66),0.01,ROUNDDOWN((E124-16)/50,0))</f>
        <v>0</v>
      </c>
      <c r="G124" s="13">
        <f>IF(AND(F124&gt;=1,F124&lt;=6),E124-F124*50-16,IF(F124=0.01,E124-16,IF(F124=0,0,IF(F124&gt;6,E124-316,0))))</f>
        <v>0</v>
      </c>
    </row>
    <row r="125" spans="1:7" ht="16.5">
      <c r="A125" s="14" t="s">
        <v>131</v>
      </c>
      <c r="B125" s="4">
        <f>VLOOKUP(A125,联盟DKP榜单!A$1:C$598,3,FALSE)-40*COUNTIF(扣分!A:A,A125)</f>
        <v>0</v>
      </c>
      <c r="C125" s="24">
        <f>50*COUNTIF(帮战总榜!A$1:AB$150,$A125)+40*COUNTIF(掠夺!A$1:AB$150,$A125)</f>
        <v>0</v>
      </c>
      <c r="D125" s="24">
        <f>20*COUNTIF(YY统计!A$2:M$150,$A125)</f>
        <v>0</v>
      </c>
      <c r="E125" s="24">
        <f>SUM(B125:D125)</f>
        <v>0</v>
      </c>
      <c r="F125" s="24">
        <f>IF(AND(E125&gt;=16,E125&lt;66),0.01,ROUNDDOWN((E125-16)/50,0))</f>
        <v>0</v>
      </c>
      <c r="G125" s="13">
        <f>IF(AND(F125&gt;=1,F125&lt;=6),E125-F125*50-16,IF(F125=0.01,E125-16,IF(F125=0,0,IF(F125&gt;6,E125-316,0))))</f>
        <v>0</v>
      </c>
    </row>
    <row r="126" spans="1:7" ht="16.5">
      <c r="A126" s="14" t="s">
        <v>132</v>
      </c>
      <c r="B126" s="4">
        <f>VLOOKUP(A126,联盟DKP榜单!A$1:C$598,3,FALSE)-40*COUNTIF(扣分!A:A,A126)</f>
        <v>0</v>
      </c>
      <c r="C126" s="24">
        <f>50*COUNTIF(帮战总榜!A$1:AB$150,$A126)+40*COUNTIF(掠夺!A$1:AB$150,$A126)</f>
        <v>0</v>
      </c>
      <c r="D126" s="24">
        <f>20*COUNTIF(YY统计!A$2:M$150,$A126)</f>
        <v>0</v>
      </c>
      <c r="E126" s="24">
        <f>SUM(B126:D126)</f>
        <v>0</v>
      </c>
      <c r="F126" s="24">
        <f>IF(AND(E126&gt;=16,E126&lt;66),0.01,ROUNDDOWN((E126-16)/50,0))</f>
        <v>0</v>
      </c>
      <c r="G126" s="13">
        <f>IF(AND(F126&gt;=1,F126&lt;=6),E126-F126*50-16,IF(F126=0.01,E126-16,IF(F126=0,0,IF(F126&gt;6,E126-316,0))))</f>
        <v>0</v>
      </c>
    </row>
    <row r="127" spans="1:7" ht="16.5">
      <c r="A127" s="14" t="s">
        <v>610</v>
      </c>
      <c r="B127" s="4">
        <f>VLOOKUP(A127,联盟DKP榜单!A$1:C$598,3,FALSE)-40*COUNTIF(扣分!A:A,A127)</f>
        <v>0</v>
      </c>
      <c r="C127" s="24">
        <f>50*COUNTIF(帮战总榜!A$1:AB$150,$A127)+40*COUNTIF(掠夺!A$1:AB$150,$A127)</f>
        <v>0</v>
      </c>
      <c r="D127" s="24">
        <f>20*COUNTIF(YY统计!A$2:M$150,$A127)</f>
        <v>0</v>
      </c>
      <c r="E127" s="24">
        <f>SUM(B127:D127)</f>
        <v>0</v>
      </c>
      <c r="F127" s="24">
        <f>IF(AND(E127&gt;=16,E127&lt;66),0.01,ROUNDDOWN((E127-16)/50,0))</f>
        <v>0</v>
      </c>
      <c r="G127" s="13">
        <f>IF(AND(F127&gt;=1,F127&lt;=6),E127-F127*50-16,IF(F127=0.01,E127-16,IF(F127=0,0,IF(F127&gt;6,E127-316,0))))</f>
        <v>0</v>
      </c>
    </row>
    <row r="128" spans="1:7" ht="16.5">
      <c r="A128" s="14" t="s">
        <v>134</v>
      </c>
      <c r="B128" s="4">
        <f>VLOOKUP(A128,联盟DKP榜单!A$1:C$598,3,FALSE)-40*COUNTIF(扣分!A:A,A128)</f>
        <v>0</v>
      </c>
      <c r="C128" s="24">
        <f>50*COUNTIF(帮战总榜!A$1:AB$150,$A128)+40*COUNTIF(掠夺!A$1:AB$150,$A128)</f>
        <v>0</v>
      </c>
      <c r="D128" s="24">
        <f>20*COUNTIF(YY统计!A$2:M$150,$A128)</f>
        <v>0</v>
      </c>
      <c r="E128" s="24">
        <f>SUM(B128:D128)</f>
        <v>0</v>
      </c>
      <c r="F128" s="24">
        <f>IF(AND(E128&gt;=16,E128&lt;66),0.01,ROUNDDOWN((E128-16)/50,0))</f>
        <v>0</v>
      </c>
      <c r="G128" s="13">
        <f>IF(AND(F128&gt;=1,F128&lt;=6),E128-F128*50-16,IF(F128=0.01,E128-16,IF(F128=0,0,IF(F128&gt;6,E128-316,0))))</f>
        <v>0</v>
      </c>
    </row>
    <row r="129" spans="1:7" ht="16.5">
      <c r="A129" s="14" t="s">
        <v>611</v>
      </c>
      <c r="B129" s="4">
        <f>VLOOKUP(A129,联盟DKP榜单!A$1:C$598,3,FALSE)-40*COUNTIF(扣分!A:A,A129)</f>
        <v>0</v>
      </c>
      <c r="C129" s="24">
        <f>50*COUNTIF(帮战总榜!A$1:AB$150,$A129)+40*COUNTIF(掠夺!A$1:AB$150,$A129)</f>
        <v>0</v>
      </c>
      <c r="D129" s="24">
        <f>20*COUNTIF(YY统计!A$2:M$150,$A129)</f>
        <v>0</v>
      </c>
      <c r="E129" s="24">
        <f>SUM(B129:D129)</f>
        <v>0</v>
      </c>
      <c r="F129" s="24">
        <f>IF(AND(E129&gt;=16,E129&lt;66),0.01,ROUNDDOWN((E129-16)/50,0))</f>
        <v>0</v>
      </c>
      <c r="G129" s="13">
        <f>IF(AND(F129&gt;=1,F129&lt;=6),E129-F129*50-16,IF(F129=0.01,E129-16,IF(F129=0,0,IF(F129&gt;6,E129-316,0))))</f>
        <v>0</v>
      </c>
    </row>
    <row r="130" spans="1:7" ht="16.5">
      <c r="A130" s="14" t="s">
        <v>135</v>
      </c>
      <c r="B130" s="4">
        <f>VLOOKUP(A130,联盟DKP榜单!A$1:C$598,3,FALSE)-40*COUNTIF(扣分!A:A,A130)</f>
        <v>0</v>
      </c>
      <c r="C130" s="24">
        <f>50*COUNTIF(帮战总榜!A$1:AB$150,$A130)+40*COUNTIF(掠夺!A$1:AB$150,$A130)</f>
        <v>0</v>
      </c>
      <c r="D130" s="24">
        <f>20*COUNTIF(YY统计!A$2:M$150,$A130)</f>
        <v>0</v>
      </c>
      <c r="E130" s="24">
        <f>SUM(B130:D130)</f>
        <v>0</v>
      </c>
      <c r="F130" s="24">
        <f>IF(AND(E130&gt;=16,E130&lt;66),0.01,ROUNDDOWN((E130-16)/50,0))</f>
        <v>0</v>
      </c>
      <c r="G130" s="13">
        <f>IF(AND(F130&gt;=1,F130&lt;=6),E130-F130*50-16,IF(F130=0.01,E130-16,IF(F130=0,0,IF(F130&gt;6,E130-316,0))))</f>
        <v>0</v>
      </c>
    </row>
    <row r="131" spans="1:7" ht="16.5">
      <c r="A131" s="14" t="s">
        <v>136</v>
      </c>
      <c r="B131" s="4">
        <f>VLOOKUP(A131,联盟DKP榜单!A$1:C$598,3,FALSE)-40*COUNTIF(扣分!A:A,A131)</f>
        <v>0</v>
      </c>
      <c r="C131" s="24">
        <f>50*COUNTIF(帮战总榜!A$1:AB$150,$A131)+40*COUNTIF(掠夺!A$1:AB$150,$A131)</f>
        <v>0</v>
      </c>
      <c r="D131" s="24">
        <f>20*COUNTIF(YY统计!A$2:M$150,$A131)</f>
        <v>0</v>
      </c>
      <c r="E131" s="24">
        <f>SUM(B131:D131)</f>
        <v>0</v>
      </c>
      <c r="F131" s="24">
        <f>IF(AND(E131&gt;=16,E131&lt;66),0.01,ROUNDDOWN((E131-16)/50,0))</f>
        <v>0</v>
      </c>
      <c r="G131" s="13">
        <f>IF(AND(F131&gt;=1,F131&lt;=6),E131-F131*50-16,IF(F131=0.01,E131-16,IF(F131=0,0,IF(F131&gt;6,E131-316,0))))</f>
        <v>0</v>
      </c>
    </row>
    <row r="132" spans="1:7" ht="16.5">
      <c r="A132" s="14" t="s">
        <v>115</v>
      </c>
      <c r="B132" s="4">
        <f>VLOOKUP(A132,联盟DKP榜单!A$1:C$598,3,FALSE)-40*COUNTIF(扣分!A:A,A132)</f>
        <v>0</v>
      </c>
      <c r="C132" s="24">
        <f>50*COUNTIF(帮战总榜!A$1:AB$150,$A132)+40*COUNTIF(掠夺!A$1:AB$150,$A132)</f>
        <v>0</v>
      </c>
      <c r="D132" s="24">
        <f>20*COUNTIF(YY统计!A$2:M$150,$A132)</f>
        <v>0</v>
      </c>
      <c r="E132" s="24">
        <f>SUM(B132:D132)</f>
        <v>0</v>
      </c>
      <c r="F132" s="24">
        <f>IF(AND(E132&gt;=16,E132&lt;66),0.01,ROUNDDOWN((E132-16)/50,0))</f>
        <v>0</v>
      </c>
      <c r="G132" s="13">
        <f>IF(AND(F132&gt;=1,F132&lt;=6),E132-F132*50-16,IF(F132=0.01,E132-16,IF(F132=0,0,IF(F132&gt;6,E132-316,0))))</f>
        <v>0</v>
      </c>
    </row>
    <row r="133" spans="1:7" ht="16.5">
      <c r="A133" s="14" t="s">
        <v>116</v>
      </c>
      <c r="B133" s="4">
        <f>VLOOKUP(A133,联盟DKP榜单!A$1:C$598,3,FALSE)-40*COUNTIF(扣分!A:A,A133)</f>
        <v>0</v>
      </c>
      <c r="C133" s="24">
        <f>50*COUNTIF(帮战总榜!A$1:AB$150,$A133)+40*COUNTIF(掠夺!A$1:AB$150,$A133)</f>
        <v>0</v>
      </c>
      <c r="D133" s="24">
        <f>20*COUNTIF(YY统计!A$2:M$150,$A133)</f>
        <v>0</v>
      </c>
      <c r="E133" s="24">
        <f>SUM(B133:D133)</f>
        <v>0</v>
      </c>
      <c r="F133" s="24">
        <f>IF(AND(E133&gt;=16,E133&lt;66),0.01,ROUNDDOWN((E133-16)/50,0))</f>
        <v>0</v>
      </c>
      <c r="G133" s="13">
        <f>IF(AND(F133&gt;=1,F133&lt;=6),E133-F133*50-16,IF(F133=0.01,E133-16,IF(F133=0,0,IF(F133&gt;6,E133-316,0))))</f>
        <v>0</v>
      </c>
    </row>
    <row r="134" spans="1:7" ht="16.5">
      <c r="A134" s="14" t="s">
        <v>117</v>
      </c>
      <c r="B134" s="4">
        <f>VLOOKUP(A134,联盟DKP榜单!A$1:C$598,3,FALSE)-40*COUNTIF(扣分!A:A,A134)</f>
        <v>0</v>
      </c>
      <c r="C134" s="24">
        <f>50*COUNTIF(帮战总榜!A$1:AB$150,$A134)+40*COUNTIF(掠夺!A$1:AB$150,$A134)</f>
        <v>0</v>
      </c>
      <c r="D134" s="24">
        <f>20*COUNTIF(YY统计!A$2:M$150,$A134)</f>
        <v>0</v>
      </c>
      <c r="E134" s="24">
        <f>SUM(B134:D134)</f>
        <v>0</v>
      </c>
      <c r="F134" s="24">
        <f>IF(AND(E134&gt;=16,E134&lt;66),0.01,ROUNDDOWN((E134-16)/50,0))</f>
        <v>0</v>
      </c>
      <c r="G134" s="13">
        <f>IF(AND(F134&gt;=1,F134&lt;=6),E134-F134*50-16,IF(F134=0.01,E134-16,IF(F134=0,0,IF(F134&gt;6,E134-316,0))))</f>
        <v>0</v>
      </c>
    </row>
    <row r="135" spans="1:7" ht="16.5">
      <c r="A135" s="14" t="s">
        <v>614</v>
      </c>
      <c r="B135" s="4">
        <f>VLOOKUP(A135,联盟DKP榜单!A$1:C$598,3,FALSE)-40*COUNTIF(扣分!A:A,A135)</f>
        <v>0</v>
      </c>
      <c r="C135" s="24">
        <f>50*COUNTIF(帮战总榜!A$1:AB$150,$A135)+40*COUNTIF(掠夺!A$1:AB$150,$A135)</f>
        <v>0</v>
      </c>
      <c r="D135" s="24">
        <f>20*COUNTIF(YY统计!A$2:M$150,$A135)</f>
        <v>0</v>
      </c>
      <c r="E135" s="24">
        <f>SUM(B135:D135)</f>
        <v>0</v>
      </c>
      <c r="F135" s="24">
        <f>IF(AND(E135&gt;=16,E135&lt;66),0.01,ROUNDDOWN((E135-16)/50,0))</f>
        <v>0</v>
      </c>
      <c r="G135" s="13">
        <f>IF(AND(F135&gt;=1,F135&lt;=6),E135-F135*50-16,IF(F135=0.01,E135-16,IF(F135=0,0,IF(F135&gt;6,E135-316,0))))</f>
        <v>0</v>
      </c>
    </row>
    <row r="136" spans="1:7" ht="16.5">
      <c r="A136" s="14" t="s">
        <v>112</v>
      </c>
      <c r="B136" s="4">
        <f>VLOOKUP(A136,联盟DKP榜单!A$1:C$598,3,FALSE)-40*COUNTIF(扣分!A:A,A136)</f>
        <v>0</v>
      </c>
      <c r="C136" s="24">
        <f>50*COUNTIF(帮战总榜!A$1:AB$150,$A136)+40*COUNTIF(掠夺!A$1:AB$150,$A136)</f>
        <v>0</v>
      </c>
      <c r="D136" s="24">
        <f>20*COUNTIF(YY统计!A$2:M$150,$A136)</f>
        <v>0</v>
      </c>
      <c r="E136" s="24">
        <f>SUM(B136:D136)</f>
        <v>0</v>
      </c>
      <c r="F136" s="24">
        <f>IF(AND(E136&gt;=16,E136&lt;66),0.01,ROUNDDOWN((E136-16)/50,0))</f>
        <v>0</v>
      </c>
      <c r="G136" s="13">
        <f>IF(AND(F136&gt;=1,F136&lt;=6),E136-F136*50-16,IF(F136=0.01,E136-16,IF(F136=0,0,IF(F136&gt;6,E136-316,0))))</f>
        <v>0</v>
      </c>
    </row>
    <row r="137" spans="1:7" ht="16.5">
      <c r="A137" s="14" t="s">
        <v>113</v>
      </c>
      <c r="B137" s="4">
        <f>VLOOKUP(A137,联盟DKP榜单!A$1:C$598,3,FALSE)-40*COUNTIF(扣分!A:A,A137)</f>
        <v>0</v>
      </c>
      <c r="C137" s="24">
        <f>50*COUNTIF(帮战总榜!A$1:AB$150,$A137)+40*COUNTIF(掠夺!A$1:AB$150,$A137)</f>
        <v>0</v>
      </c>
      <c r="D137" s="24">
        <f>20*COUNTIF(YY统计!A$2:M$150,$A137)</f>
        <v>0</v>
      </c>
      <c r="E137" s="24">
        <f>SUM(B137:D137)</f>
        <v>0</v>
      </c>
      <c r="F137" s="24">
        <f>IF(AND(E137&gt;=16,E137&lt;66),0.01,ROUNDDOWN((E137-16)/50,0))</f>
        <v>0</v>
      </c>
      <c r="G137" s="13">
        <f>IF(AND(F137&gt;=1,F137&lt;=6),E137-F137*50-16,IF(F137=0.01,E137-16,IF(F137=0,0,IF(F137&gt;6,E137-316,0))))</f>
        <v>0</v>
      </c>
    </row>
    <row r="138" spans="1:7" ht="16.5">
      <c r="A138" s="14" t="s">
        <v>616</v>
      </c>
      <c r="B138" s="4">
        <f>VLOOKUP(A138,联盟DKP榜单!A$1:C$598,3,FALSE)-40*COUNTIF(扣分!A:A,A138)</f>
        <v>0</v>
      </c>
      <c r="C138" s="24">
        <f>50*COUNTIF(帮战总榜!A$1:AB$150,$A138)+40*COUNTIF(掠夺!A$1:AB$150,$A138)</f>
        <v>0</v>
      </c>
      <c r="D138" s="24">
        <f>20*COUNTIF(YY统计!A$2:M$150,$A138)</f>
        <v>0</v>
      </c>
      <c r="E138" s="24">
        <f>SUM(B138:D138)</f>
        <v>0</v>
      </c>
      <c r="F138" s="24">
        <f>IF(AND(E138&gt;=16,E138&lt;66),0.01,ROUNDDOWN((E138-16)/50,0))</f>
        <v>0</v>
      </c>
      <c r="G138" s="13">
        <f>IF(AND(F138&gt;=1,F138&lt;=6),E138-F138*50-16,IF(F138=0.01,E138-16,IF(F138=0,0,IF(F138&gt;6,E138-316,0))))</f>
        <v>0</v>
      </c>
    </row>
    <row r="139" spans="1:7" ht="16.5">
      <c r="A139" s="14" t="s">
        <v>114</v>
      </c>
      <c r="B139" s="4">
        <f>VLOOKUP(A139,联盟DKP榜单!A$1:C$598,3,FALSE)-40*COUNTIF(扣分!A:A,A139)</f>
        <v>0</v>
      </c>
      <c r="C139" s="24">
        <f>50*COUNTIF(帮战总榜!A$1:AB$150,$A139)+40*COUNTIF(掠夺!A$1:AB$150,$A139)</f>
        <v>0</v>
      </c>
      <c r="D139" s="24">
        <f>20*COUNTIF(YY统计!A$2:M$150,$A139)</f>
        <v>0</v>
      </c>
      <c r="E139" s="24">
        <f>SUM(B139:D139)</f>
        <v>0</v>
      </c>
      <c r="F139" s="24">
        <f>IF(AND(E139&gt;=16,E139&lt;66),0.01,ROUNDDOWN((E139-16)/50,0))</f>
        <v>0</v>
      </c>
      <c r="G139" s="13">
        <f>IF(AND(F139&gt;=1,F139&lt;=6),E139-F139*50-16,IF(F139=0.01,E139-16,IF(F139=0,0,IF(F139&gt;6,E139-316,0))))</f>
        <v>0</v>
      </c>
    </row>
    <row r="140" spans="1:7" ht="16.5">
      <c r="A140" s="14" t="s">
        <v>91</v>
      </c>
      <c r="B140" s="4">
        <f>VLOOKUP(A140,联盟DKP榜单!A$1:C$598,3,FALSE)-40*COUNTIF(扣分!A:A,A140)</f>
        <v>0</v>
      </c>
      <c r="C140" s="24">
        <f>50*COUNTIF(帮战总榜!A$1:AB$150,$A140)+40*COUNTIF(掠夺!A$1:AB$150,$A140)</f>
        <v>0</v>
      </c>
      <c r="D140" s="24">
        <f>20*COUNTIF(YY统计!A$2:M$150,$A140)</f>
        <v>0</v>
      </c>
      <c r="E140" s="24">
        <f>SUM(B140:D140)</f>
        <v>0</v>
      </c>
      <c r="F140" s="24">
        <f>IF(AND(E140&gt;=16,E140&lt;66),0.01,ROUNDDOWN((E140-16)/50,0))</f>
        <v>0</v>
      </c>
      <c r="G140" s="13">
        <f>IF(AND(F140&gt;=1,F140&lt;=6),E140-F140*50-16,IF(F140=0.01,E140-16,IF(F140=0,0,IF(F140&gt;6,E140-316,0))))</f>
        <v>0</v>
      </c>
    </row>
    <row r="141" spans="1:7" ht="16.5">
      <c r="A141" s="14" t="s">
        <v>93</v>
      </c>
      <c r="B141" s="4">
        <f>VLOOKUP(A141,联盟DKP榜单!A$1:C$598,3,FALSE)-40*COUNTIF(扣分!A:A,A141)</f>
        <v>0</v>
      </c>
      <c r="C141" s="24">
        <f>50*COUNTIF(帮战总榜!A$1:AB$150,$A141)+40*COUNTIF(掠夺!A$1:AB$150,$A141)</f>
        <v>0</v>
      </c>
      <c r="D141" s="24">
        <f>20*COUNTIF(YY统计!A$2:M$150,$A141)</f>
        <v>0</v>
      </c>
      <c r="E141" s="24">
        <f>SUM(B141:D141)</f>
        <v>0</v>
      </c>
      <c r="F141" s="24">
        <f>IF(AND(E141&gt;=16,E141&lt;66),0.01,ROUNDDOWN((E141-16)/50,0))</f>
        <v>0</v>
      </c>
      <c r="G141" s="13">
        <f>IF(AND(F141&gt;=1,F141&lt;=6),E141-F141*50-16,IF(F141=0.01,E141-16,IF(F141=0,0,IF(F141&gt;6,E141-316,0))))</f>
        <v>0</v>
      </c>
    </row>
    <row r="142" spans="1:7" ht="16.5">
      <c r="A142" s="14" t="s">
        <v>94</v>
      </c>
      <c r="B142" s="4">
        <f>VLOOKUP(A142,联盟DKP榜单!A$1:C$598,3,FALSE)-40*COUNTIF(扣分!A:A,A142)</f>
        <v>0</v>
      </c>
      <c r="C142" s="24">
        <f>50*COUNTIF(帮战总榜!A$1:AB$150,$A142)+40*COUNTIF(掠夺!A$1:AB$150,$A142)</f>
        <v>0</v>
      </c>
      <c r="D142" s="24">
        <f>20*COUNTIF(YY统计!A$2:M$150,$A142)</f>
        <v>0</v>
      </c>
      <c r="E142" s="24">
        <f>SUM(B142:D142)</f>
        <v>0</v>
      </c>
      <c r="F142" s="24">
        <f>IF(AND(E142&gt;=16,E142&lt;66),0.01,ROUNDDOWN((E142-16)/50,0))</f>
        <v>0</v>
      </c>
      <c r="G142" s="13">
        <f>IF(AND(F142&gt;=1,F142&lt;=6),E142-F142*50-16,IF(F142=0.01,E142-16,IF(F142=0,0,IF(F142&gt;6,E142-316,0))))</f>
        <v>0</v>
      </c>
    </row>
    <row r="143" spans="1:7" ht="16.5">
      <c r="A143" s="14" t="s">
        <v>95</v>
      </c>
      <c r="B143" s="4">
        <f>VLOOKUP(A143,联盟DKP榜单!A$1:C$598,3,FALSE)-40*COUNTIF(扣分!A:A,A143)</f>
        <v>0</v>
      </c>
      <c r="C143" s="24">
        <f>50*COUNTIF(帮战总榜!A$1:AB$150,$A143)+40*COUNTIF(掠夺!A$1:AB$150,$A143)</f>
        <v>0</v>
      </c>
      <c r="D143" s="24">
        <f>20*COUNTIF(YY统计!A$2:M$150,$A143)</f>
        <v>0</v>
      </c>
      <c r="E143" s="24">
        <f>SUM(B143:D143)</f>
        <v>0</v>
      </c>
      <c r="F143" s="24">
        <f>IF(AND(E143&gt;=16,E143&lt;66),0.01,ROUNDDOWN((E143-16)/50,0))</f>
        <v>0</v>
      </c>
      <c r="G143" s="13">
        <f>IF(AND(F143&gt;=1,F143&lt;=6),E143-F143*50-16,IF(F143=0.01,E143-16,IF(F143=0,0,IF(F143&gt;6,E143-316,0))))</f>
        <v>0</v>
      </c>
    </row>
    <row r="144" spans="1:7" ht="16.5">
      <c r="A144" s="14" t="s">
        <v>96</v>
      </c>
      <c r="B144" s="4">
        <f>VLOOKUP(A144,联盟DKP榜单!A$1:C$598,3,FALSE)-40*COUNTIF(扣分!A:A,A144)</f>
        <v>0</v>
      </c>
      <c r="C144" s="24">
        <f>50*COUNTIF(帮战总榜!A$1:AB$150,$A144)+40*COUNTIF(掠夺!A$1:AB$150,$A144)</f>
        <v>0</v>
      </c>
      <c r="D144" s="24">
        <f>20*COUNTIF(YY统计!A$2:M$150,$A144)</f>
        <v>0</v>
      </c>
      <c r="E144" s="24">
        <f>SUM(B144:D144)</f>
        <v>0</v>
      </c>
      <c r="F144" s="24">
        <f>IF(AND(E144&gt;=16,E144&lt;66),0.01,ROUNDDOWN((E144-16)/50,0))</f>
        <v>0</v>
      </c>
      <c r="G144" s="13">
        <f>IF(AND(F144&gt;=1,F144&lt;=6),E144-F144*50-16,IF(F144=0.01,E144-16,IF(F144=0,0,IF(F144&gt;6,E144-316,0))))</f>
        <v>0</v>
      </c>
    </row>
    <row r="145" spans="1:7" ht="16.5">
      <c r="A145" s="14" t="s">
        <v>97</v>
      </c>
      <c r="B145" s="4">
        <f>VLOOKUP(A145,联盟DKP榜单!A$1:C$598,3,FALSE)-40*COUNTIF(扣分!A:A,A145)</f>
        <v>0</v>
      </c>
      <c r="C145" s="24">
        <f>50*COUNTIF(帮战总榜!A$1:AB$150,$A145)+40*COUNTIF(掠夺!A$1:AB$150,$A145)</f>
        <v>0</v>
      </c>
      <c r="D145" s="24">
        <f>20*COUNTIF(YY统计!A$2:M$150,$A145)</f>
        <v>0</v>
      </c>
      <c r="E145" s="24">
        <f>SUM(B145:D145)</f>
        <v>0</v>
      </c>
      <c r="F145" s="24">
        <f>IF(AND(E145&gt;=16,E145&lt;66),0.01,ROUNDDOWN((E145-16)/50,0))</f>
        <v>0</v>
      </c>
      <c r="G145" s="13">
        <f>IF(AND(F145&gt;=1,F145&lt;=6),E145-F145*50-16,IF(F145=0.01,E145-16,IF(F145=0,0,IF(F145&gt;6,E145-316,0))))</f>
        <v>0</v>
      </c>
    </row>
    <row r="146" spans="1:7" ht="16.5">
      <c r="A146" s="14" t="s">
        <v>98</v>
      </c>
      <c r="B146" s="4">
        <f>VLOOKUP(A146,联盟DKP榜单!A$1:C$598,3,FALSE)-40*COUNTIF(扣分!A:A,A146)</f>
        <v>0</v>
      </c>
      <c r="C146" s="24">
        <f>50*COUNTIF(帮战总榜!A$1:AB$150,$A146)+40*COUNTIF(掠夺!A$1:AB$150,$A146)</f>
        <v>0</v>
      </c>
      <c r="D146" s="24">
        <f>20*COUNTIF(YY统计!A$2:M$150,$A146)</f>
        <v>0</v>
      </c>
      <c r="E146" s="24">
        <f>SUM(B146:D146)</f>
        <v>0</v>
      </c>
      <c r="F146" s="24">
        <f>IF(AND(E146&gt;=16,E146&lt;66),0.01,ROUNDDOWN((E146-16)/50,0))</f>
        <v>0</v>
      </c>
      <c r="G146" s="13">
        <f>IF(AND(F146&gt;=1,F146&lt;=6),E146-F146*50-16,IF(F146=0.01,E146-16,IF(F146=0,0,IF(F146&gt;6,E146-316,0))))</f>
        <v>0</v>
      </c>
    </row>
    <row r="147" spans="1:7" ht="16.5">
      <c r="A147" s="14" t="s">
        <v>619</v>
      </c>
      <c r="B147" s="4">
        <f>VLOOKUP(A147,联盟DKP榜单!A$1:C$598,3,FALSE)-40*COUNTIF(扣分!A:A,A147)</f>
        <v>0</v>
      </c>
      <c r="C147" s="24">
        <f>50*COUNTIF(帮战总榜!A$1:AB$150,$A147)+40*COUNTIF(掠夺!A$1:AB$150,$A147)</f>
        <v>0</v>
      </c>
      <c r="D147" s="24">
        <f>20*COUNTIF(YY统计!A$2:M$150,$A147)</f>
        <v>0</v>
      </c>
      <c r="E147" s="24">
        <f>SUM(B147:D147)</f>
        <v>0</v>
      </c>
      <c r="F147" s="24">
        <f>IF(AND(E147&gt;=16,E147&lt;66),0.01,ROUNDDOWN((E147-16)/50,0))</f>
        <v>0</v>
      </c>
      <c r="G147" s="13">
        <f>IF(AND(F147&gt;=1,F147&lt;=6),E147-F147*50-16,IF(F147=0.01,E147-16,IF(F147=0,0,IF(F147&gt;6,E147-316,0))))</f>
        <v>0</v>
      </c>
    </row>
    <row r="148" spans="1:7" ht="16.5">
      <c r="A148" s="14" t="s">
        <v>99</v>
      </c>
      <c r="B148" s="4">
        <f>VLOOKUP(A148,联盟DKP榜单!A$1:C$598,3,FALSE)-40*COUNTIF(扣分!A:A,A148)</f>
        <v>0</v>
      </c>
      <c r="C148" s="24">
        <f>50*COUNTIF(帮战总榜!A$1:AB$150,$A148)+40*COUNTIF(掠夺!A$1:AB$150,$A148)</f>
        <v>0</v>
      </c>
      <c r="D148" s="24">
        <f>20*COUNTIF(YY统计!A$2:M$150,$A148)</f>
        <v>0</v>
      </c>
      <c r="E148" s="24">
        <f>SUM(B148:D148)</f>
        <v>0</v>
      </c>
      <c r="F148" s="24">
        <f>IF(AND(E148&gt;=16,E148&lt;66),0.01,ROUNDDOWN((E148-16)/50,0))</f>
        <v>0</v>
      </c>
      <c r="G148" s="13">
        <f>IF(AND(F148&gt;=1,F148&lt;=6),E148-F148*50-16,IF(F148=0.01,E148-16,IF(F148=0,0,IF(F148&gt;6,E148-316,0))))</f>
        <v>0</v>
      </c>
    </row>
  </sheetData>
  <sortState ref="A2:G151">
    <sortCondition descending="1" ref="F1"/>
  </sortState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0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E3" sqref="E3"/>
    </sheetView>
  </sheetViews>
  <sheetFormatPr defaultRowHeight="15"/>
  <cols>
    <col min="1" max="1" width="16.710937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13"/>
    <col min="8" max="9" width="9.5703125" customWidth="1"/>
    <col min="10" max="10" width="9.5703125" bestFit="1" customWidth="1"/>
    <col min="11" max="11" width="9.5703125" customWidth="1"/>
  </cols>
  <sheetData>
    <row r="1" spans="1:11">
      <c r="A1" s="19" t="s">
        <v>5</v>
      </c>
      <c r="B1" s="20" t="s">
        <v>22</v>
      </c>
      <c r="C1" s="20" t="s">
        <v>10</v>
      </c>
      <c r="D1" s="20" t="s">
        <v>23</v>
      </c>
      <c r="E1" s="20" t="s">
        <v>6</v>
      </c>
      <c r="F1" s="20" t="s">
        <v>9</v>
      </c>
      <c r="G1" s="20" t="s">
        <v>620</v>
      </c>
      <c r="J1" s="20" t="s">
        <v>11</v>
      </c>
      <c r="K1" s="20" t="s">
        <v>12</v>
      </c>
    </row>
    <row r="2" spans="1:11" ht="16.5">
      <c r="A2" s="14" t="s">
        <v>517</v>
      </c>
      <c r="B2" s="4">
        <f>VLOOKUP(A2,联盟DKP榜单!A$1:C$598,3,FALSE)-40*COUNTIF(扣分!A:A,A2)</f>
        <v>126</v>
      </c>
      <c r="C2" s="24">
        <f>50*COUNTIF(帮战总榜!A$1:AB$150,$A2)+40*COUNTIF(掠夺!A$1:AB$150,$A2)</f>
        <v>80</v>
      </c>
      <c r="D2" s="24">
        <f>20*COUNTIF(YY统计!A$2:M$150,$A2)</f>
        <v>80</v>
      </c>
      <c r="E2" s="24">
        <f>SUM(B2:D2)</f>
        <v>286</v>
      </c>
      <c r="F2" s="24">
        <f>IF(AND(E2&gt;=16,E2&lt;66),0.01,ROUNDDOWN((E2-16)/50,0))</f>
        <v>5</v>
      </c>
      <c r="G2" s="13">
        <f>IF(AND(F2&gt;=1,F2&lt;=6),E2-F2*50-16,IF(F2=0.01,E2-16,IF(F2=0,0,IF(F2&gt;6,E2-316,0))))</f>
        <v>20</v>
      </c>
      <c r="J2" s="3">
        <f>INT(SUM(F2:F158))</f>
        <v>103</v>
      </c>
      <c r="K2" s="3">
        <f>COUNTIF(F:F,"&gt;"&amp;6)</f>
        <v>0</v>
      </c>
    </row>
    <row r="3" spans="1:11" ht="16.5">
      <c r="A3" s="14" t="s">
        <v>520</v>
      </c>
      <c r="B3" s="4">
        <f>VLOOKUP(A3,联盟DKP榜单!A$1:C$598,3,FALSE)-40*COUNTIF(扣分!A:A,A3)</f>
        <v>125</v>
      </c>
      <c r="C3" s="24">
        <f>50*COUNTIF(帮战总榜!A$1:AB$150,$A3)+40*COUNTIF(掠夺!A$1:AB$150,$A3)</f>
        <v>80</v>
      </c>
      <c r="D3" s="24">
        <f>20*COUNTIF(YY统计!A$2:M$150,$A3)</f>
        <v>80</v>
      </c>
      <c r="E3" s="24">
        <f>SUM(B3:D3)</f>
        <v>285</v>
      </c>
      <c r="F3" s="24">
        <f>IF(AND(E3&gt;=16,E3&lt;66),0.01,ROUNDDOWN((E3-16)/50,0))</f>
        <v>5</v>
      </c>
      <c r="G3" s="13">
        <f>IF(AND(F3&gt;=1,F3&lt;=6),E3-F3*50-16,IF(F3=0.01,E3-16,IF(F3=0,0,IF(F3&gt;6,E3-316,0))))</f>
        <v>19</v>
      </c>
    </row>
    <row r="4" spans="1:11" ht="16.5">
      <c r="A4" s="14" t="s">
        <v>265</v>
      </c>
      <c r="B4" s="4">
        <f>VLOOKUP(A4,联盟DKP榜单!A$1:C$598,3,FALSE)-40*COUNTIF(扣分!A:A,A4)</f>
        <v>125</v>
      </c>
      <c r="C4" s="24">
        <f>50*COUNTIF(帮战总榜!A$1:AB$150,$A4)+40*COUNTIF(掠夺!A$1:AB$150,$A4)</f>
        <v>80</v>
      </c>
      <c r="D4" s="24">
        <f>20*COUNTIF(YY统计!A$2:M$150,$A4)</f>
        <v>60</v>
      </c>
      <c r="E4" s="24">
        <f>SUM(B4:D4)</f>
        <v>265</v>
      </c>
      <c r="F4" s="24">
        <f>IF(AND(E4&gt;=16,E4&lt;66),0.01,ROUNDDOWN((E4-16)/50,0))</f>
        <v>4</v>
      </c>
      <c r="G4" s="13">
        <f>IF(AND(F4&gt;=1,F4&lt;=6),E4-F4*50-16,IF(F4=0.01,E4-16,IF(F4=0,0,IF(F4&gt;6,E4-316,0))))</f>
        <v>49</v>
      </c>
    </row>
    <row r="5" spans="1:11" ht="16.5">
      <c r="A5" s="14" t="s">
        <v>18</v>
      </c>
      <c r="B5" s="4">
        <f>VLOOKUP(A5,联盟DKP榜单!A$1:C$598,3,FALSE)-40*COUNTIF(扣分!A:A,A5)</f>
        <v>125</v>
      </c>
      <c r="C5" s="24">
        <f>50*COUNTIF(帮战总榜!A$1:AB$150,$A5)+40*COUNTIF(掠夺!A$1:AB$150,$A5)</f>
        <v>80</v>
      </c>
      <c r="D5" s="24">
        <f>20*COUNTIF(YY统计!A$2:M$150,$A5)</f>
        <v>60</v>
      </c>
      <c r="E5" s="24">
        <f>SUM(B5:D5)</f>
        <v>265</v>
      </c>
      <c r="F5" s="24">
        <f>IF(AND(E5&gt;=16,E5&lt;66),0.01,ROUNDDOWN((E5-16)/50,0))</f>
        <v>4</v>
      </c>
      <c r="G5" s="13">
        <f>IF(AND(F5&gt;=1,F5&lt;=6),E5-F5*50-16,IF(F5=0.01,E5-16,IF(F5=0,0,IF(F5&gt;6,E5-316,0))))</f>
        <v>49</v>
      </c>
    </row>
    <row r="6" spans="1:11" ht="16.5">
      <c r="A6" s="14" t="s">
        <v>266</v>
      </c>
      <c r="B6" s="4">
        <f>VLOOKUP(A6,联盟DKP榜单!A$1:C$598,3,FALSE)-40*COUNTIF(扣分!A:A,A6)</f>
        <v>114</v>
      </c>
      <c r="C6" s="24">
        <f>50*COUNTIF(帮战总榜!A$1:AB$150,$A6)+40*COUNTIF(掠夺!A$1:AB$150,$A6)</f>
        <v>80</v>
      </c>
      <c r="D6" s="24">
        <f>20*COUNTIF(YY统计!A$2:M$150,$A6)</f>
        <v>60</v>
      </c>
      <c r="E6" s="24">
        <f>SUM(B6:D6)</f>
        <v>254</v>
      </c>
      <c r="F6" s="24">
        <f>IF(AND(E6&gt;=16,E6&lt;66),0.01,ROUNDDOWN((E6-16)/50,0))</f>
        <v>4</v>
      </c>
      <c r="G6" s="13">
        <f>IF(AND(F6&gt;=1,F6&lt;=6),E6-F6*50-16,IF(F6=0.01,E6-16,IF(F6=0,0,IF(F6&gt;6,E6-316,0))))</f>
        <v>38</v>
      </c>
    </row>
    <row r="7" spans="1:11" ht="16.5">
      <c r="A7" s="14" t="s">
        <v>267</v>
      </c>
      <c r="B7" s="4">
        <f>VLOOKUP(A7,联盟DKP榜单!A$1:C$598,3,FALSE)-40*COUNTIF(扣分!A:A,A7)</f>
        <v>108</v>
      </c>
      <c r="C7" s="24">
        <f>50*COUNTIF(帮战总榜!A$1:AB$150,$A7)+40*COUNTIF(掠夺!A$1:AB$150,$A7)</f>
        <v>80</v>
      </c>
      <c r="D7" s="24">
        <f>20*COUNTIF(YY统计!A$2:M$150,$A7)</f>
        <v>60</v>
      </c>
      <c r="E7" s="24">
        <f>SUM(B7:D7)</f>
        <v>248</v>
      </c>
      <c r="F7" s="24">
        <f>IF(AND(E7&gt;=16,E7&lt;66),0.01,ROUNDDOWN((E7-16)/50,0))</f>
        <v>4</v>
      </c>
      <c r="G7" s="13">
        <f>IF(AND(F7&gt;=1,F7&lt;=6),E7-F7*50-16,IF(F7=0.01,E7-16,IF(F7=0,0,IF(F7&gt;6,E7-316,0))))</f>
        <v>32</v>
      </c>
    </row>
    <row r="8" spans="1:11" ht="16.5">
      <c r="A8" s="14" t="s">
        <v>513</v>
      </c>
      <c r="B8" s="4">
        <f>VLOOKUP(A8,联盟DKP榜单!A$1:C$598,3,FALSE)-40*COUNTIF(扣分!A:A,A8)</f>
        <v>105</v>
      </c>
      <c r="C8" s="24">
        <f>50*COUNTIF(帮战总榜!A$1:AB$150,$A8)+40*COUNTIF(掠夺!A$1:AB$150,$A8)</f>
        <v>80</v>
      </c>
      <c r="D8" s="24">
        <f>20*COUNTIF(YY统计!A$2:M$150,$A8)</f>
        <v>60</v>
      </c>
      <c r="E8" s="24">
        <f>SUM(B8:D8)</f>
        <v>245</v>
      </c>
      <c r="F8" s="24">
        <f>IF(AND(E8&gt;=16,E8&lt;66),0.01,ROUNDDOWN((E8-16)/50,0))</f>
        <v>4</v>
      </c>
      <c r="G8" s="13">
        <f>IF(AND(F8&gt;=1,F8&lt;=6),E8-F8*50-16,IF(F8=0.01,E8-16,IF(F8=0,0,IF(F8&gt;6,E8-316,0))))</f>
        <v>29</v>
      </c>
    </row>
    <row r="9" spans="1:11" ht="16.5">
      <c r="A9" s="14" t="s">
        <v>260</v>
      </c>
      <c r="B9" s="4">
        <f>VLOOKUP(A9,联盟DKP榜单!A$1:C$598,3,FALSE)-40*COUNTIF(扣分!A:A,A9)</f>
        <v>105</v>
      </c>
      <c r="C9" s="24">
        <f>50*COUNTIF(帮战总榜!A$1:AB$150,$A9)+40*COUNTIF(掠夺!A$1:AB$150,$A9)</f>
        <v>80</v>
      </c>
      <c r="D9" s="24">
        <f>20*COUNTIF(YY统计!A$2:M$150,$A9)</f>
        <v>60</v>
      </c>
      <c r="E9" s="24">
        <f>SUM(B9:D9)</f>
        <v>245</v>
      </c>
      <c r="F9" s="24">
        <f>IF(AND(E9&gt;=16,E9&lt;66),0.01,ROUNDDOWN((E9-16)/50,0))</f>
        <v>4</v>
      </c>
      <c r="G9" s="13">
        <f>IF(AND(F9&gt;=1,F9&lt;=6),E9-F9*50-16,IF(F9=0.01,E9-16,IF(F9=0,0,IF(F9&gt;6,E9-316,0))))</f>
        <v>29</v>
      </c>
    </row>
    <row r="10" spans="1:11" ht="16.5">
      <c r="A10" s="14" t="s">
        <v>258</v>
      </c>
      <c r="B10" s="4">
        <f>VLOOKUP(A10,联盟DKP榜单!A$1:C$598,3,FALSE)-40*COUNTIF(扣分!A:A,A10)</f>
        <v>105</v>
      </c>
      <c r="C10" s="24">
        <f>50*COUNTIF(帮战总榜!A$1:AB$150,$A10)+40*COUNTIF(掠夺!A$1:AB$150,$A10)</f>
        <v>80</v>
      </c>
      <c r="D10" s="24">
        <f>20*COUNTIF(YY统计!A$2:M$150,$A10)</f>
        <v>60</v>
      </c>
      <c r="E10" s="24">
        <f>SUM(B10:D10)</f>
        <v>245</v>
      </c>
      <c r="F10" s="24">
        <f>IF(AND(E10&gt;=16,E10&lt;66),0.01,ROUNDDOWN((E10-16)/50,0))</f>
        <v>4</v>
      </c>
      <c r="G10" s="13">
        <f>IF(AND(F10&gt;=1,F10&lt;=6),E10-F10*50-16,IF(F10=0.01,E10-16,IF(F10=0,0,IF(F10&gt;6,E10-316,0))))</f>
        <v>29</v>
      </c>
    </row>
    <row r="11" spans="1:11" ht="16.5">
      <c r="A11" s="14" t="s">
        <v>326</v>
      </c>
      <c r="B11" s="4">
        <f>VLOOKUP(A11,联盟DKP榜单!A$1:C$598,3,FALSE)-40*COUNTIF(扣分!A:A,A11)</f>
        <v>105</v>
      </c>
      <c r="C11" s="24">
        <f>50*COUNTIF(帮战总榜!A$1:AB$150,$A11)+40*COUNTIF(掠夺!A$1:AB$150,$A11)</f>
        <v>80</v>
      </c>
      <c r="D11" s="24">
        <f>20*COUNTIF(YY统计!A$2:M$150,$A11)</f>
        <v>60</v>
      </c>
      <c r="E11" s="24">
        <f>SUM(B11:D11)</f>
        <v>245</v>
      </c>
      <c r="F11" s="24">
        <f>IF(AND(E11&gt;=16,E11&lt;66),0.01,ROUNDDOWN((E11-16)/50,0))</f>
        <v>4</v>
      </c>
      <c r="G11" s="13">
        <f>IF(AND(F11&gt;=1,F11&lt;=6),E11-F11*50-16,IF(F11=0.01,E11-16,IF(F11=0,0,IF(F11&gt;6,E11-316,0))))</f>
        <v>29</v>
      </c>
    </row>
    <row r="12" spans="1:11" ht="16.5">
      <c r="A12" s="14" t="s">
        <v>263</v>
      </c>
      <c r="B12" s="4">
        <f>VLOOKUP(A12,联盟DKP榜单!A$1:C$598,3,FALSE)-40*COUNTIF(扣分!A:A,A12)</f>
        <v>90</v>
      </c>
      <c r="C12" s="24">
        <f>50*COUNTIF(帮战总榜!A$1:AB$150,$A12)+40*COUNTIF(掠夺!A$1:AB$150,$A12)</f>
        <v>80</v>
      </c>
      <c r="D12" s="24">
        <f>20*COUNTIF(YY统计!A$2:M$150,$A12)</f>
        <v>80</v>
      </c>
      <c r="E12" s="24">
        <f>SUM(B12:D12)</f>
        <v>250</v>
      </c>
      <c r="F12" s="24">
        <f>IF(AND(E12&gt;=16,E12&lt;66),0.01,ROUNDDOWN((E12-16)/50,0))</f>
        <v>4</v>
      </c>
      <c r="G12" s="13">
        <f>IF(AND(F12&gt;=1,F12&lt;=6),E12-F12*50-16,IF(F12=0.01,E12-16,IF(F12=0,0,IF(F12&gt;6,E12-316,0))))</f>
        <v>34</v>
      </c>
    </row>
    <row r="13" spans="1:11" ht="16.5">
      <c r="A13" s="14" t="s">
        <v>270</v>
      </c>
      <c r="B13" s="4">
        <f>VLOOKUP(A13,联盟DKP榜单!A$1:C$598,3,FALSE)-40*COUNTIF(扣分!A:A,A13)</f>
        <v>105</v>
      </c>
      <c r="C13" s="24">
        <f>50*COUNTIF(帮战总榜!A$1:AB$150,$A13)+40*COUNTIF(掠夺!A$1:AB$150,$A13)</f>
        <v>40</v>
      </c>
      <c r="D13" s="24">
        <f>20*COUNTIF(YY统计!A$2:M$150,$A13)</f>
        <v>60</v>
      </c>
      <c r="E13" s="24">
        <f>SUM(B13:D13)</f>
        <v>205</v>
      </c>
      <c r="F13" s="24">
        <f>IF(AND(E13&gt;=16,E13&lt;66),0.01,ROUNDDOWN((E13-16)/50,0))</f>
        <v>3</v>
      </c>
      <c r="G13" s="13">
        <f>IF(AND(F13&gt;=1,F13&lt;=6),E13-F13*50-16,IF(F13=0.01,E13-16,IF(F13=0,0,IF(F13&gt;6,E13-316,0))))</f>
        <v>39</v>
      </c>
    </row>
    <row r="14" spans="1:11" ht="16.5">
      <c r="A14" s="14" t="s">
        <v>496</v>
      </c>
      <c r="B14" s="4">
        <f>VLOOKUP(A14,联盟DKP榜单!A$1:C$598,3,FALSE)-40*COUNTIF(扣分!A:A,A14)</f>
        <v>105</v>
      </c>
      <c r="C14" s="24">
        <f>50*COUNTIF(帮战总榜!A$1:AB$150,$A14)+40*COUNTIF(掠夺!A$1:AB$150,$A14)</f>
        <v>40</v>
      </c>
      <c r="D14" s="24">
        <f>20*COUNTIF(YY统计!A$2:M$150,$A14)</f>
        <v>40</v>
      </c>
      <c r="E14" s="24">
        <f>SUM(B14:D14)</f>
        <v>185</v>
      </c>
      <c r="F14" s="24">
        <f>IF(AND(E14&gt;=16,E14&lt;66),0.01,ROUNDDOWN((E14-16)/50,0))</f>
        <v>3</v>
      </c>
      <c r="G14" s="13">
        <f>IF(AND(F14&gt;=1,F14&lt;=6),E14-F14*50-16,IF(F14=0.01,E14-16,IF(F14=0,0,IF(F14&gt;6,E14-316,0))))</f>
        <v>19</v>
      </c>
    </row>
    <row r="15" spans="1:11" ht="16.5">
      <c r="A15" s="14" t="s">
        <v>302</v>
      </c>
      <c r="B15" s="4">
        <f>VLOOKUP(A15,联盟DKP榜单!A$1:C$598,3,FALSE)-40*COUNTIF(扣分!A:A,A15)</f>
        <v>71</v>
      </c>
      <c r="C15" s="24">
        <f>50*COUNTIF(帮战总榜!A$1:AB$150,$A15)+40*COUNTIF(掠夺!A$1:AB$150,$A15)</f>
        <v>80</v>
      </c>
      <c r="D15" s="24">
        <f>20*COUNTIF(YY统计!A$2:M$150,$A15)</f>
        <v>20</v>
      </c>
      <c r="E15" s="24">
        <f>SUM(B15:D15)</f>
        <v>171</v>
      </c>
      <c r="F15" s="24">
        <f>IF(AND(E15&gt;=16,E15&lt;66),0.01,ROUNDDOWN((E15-16)/50,0))</f>
        <v>3</v>
      </c>
      <c r="G15" s="13">
        <f>IF(AND(F15&gt;=1,F15&lt;=6),E15-F15*50-16,IF(F15=0.01,E15-16,IF(F15=0,0,IF(F15&gt;6,E15-316,0))))</f>
        <v>5</v>
      </c>
    </row>
    <row r="16" spans="1:11" ht="16.5">
      <c r="A16" s="14" t="s">
        <v>262</v>
      </c>
      <c r="B16" s="4">
        <f>VLOOKUP(A16,联盟DKP榜单!A$1:C$598,3,FALSE)-40*COUNTIF(扣分!A:A,A16)</f>
        <v>70</v>
      </c>
      <c r="C16" s="24">
        <f>50*COUNTIF(帮战总榜!A$1:AB$150,$A16)+40*COUNTIF(掠夺!A$1:AB$150,$A16)</f>
        <v>80</v>
      </c>
      <c r="D16" s="24">
        <f>20*COUNTIF(YY统计!A$2:M$150,$A16)</f>
        <v>60</v>
      </c>
      <c r="E16" s="24">
        <f>SUM(B16:D16)</f>
        <v>210</v>
      </c>
      <c r="F16" s="24">
        <f>IF(AND(E16&gt;=16,E16&lt;66),0.01,ROUNDDOWN((E16-16)/50,0))</f>
        <v>3</v>
      </c>
      <c r="G16" s="13">
        <f>IF(AND(F16&gt;=1,F16&lt;=6),E16-F16*50-16,IF(F16=0.01,E16-16,IF(F16=0,0,IF(F16&gt;6,E16-316,0))))</f>
        <v>44</v>
      </c>
    </row>
    <row r="17" spans="1:7" ht="16.5">
      <c r="A17" s="14" t="s">
        <v>295</v>
      </c>
      <c r="B17" s="4">
        <f>VLOOKUP(A17,联盟DKP榜单!A$1:C$598,3,FALSE)-40*COUNTIF(扣分!A:A,A17)</f>
        <v>70</v>
      </c>
      <c r="C17" s="24">
        <f>50*COUNTIF(帮战总榜!A$1:AB$150,$A17)+40*COUNTIF(掠夺!A$1:AB$150,$A17)</f>
        <v>40</v>
      </c>
      <c r="D17" s="24">
        <f>20*COUNTIF(YY统计!A$2:M$150,$A17)</f>
        <v>60</v>
      </c>
      <c r="E17" s="24">
        <f>SUM(B17:D17)</f>
        <v>170</v>
      </c>
      <c r="F17" s="24">
        <f>IF(AND(E17&gt;=16,E17&lt;66),0.01,ROUNDDOWN((E17-16)/50,0))</f>
        <v>3</v>
      </c>
      <c r="G17" s="13">
        <f>IF(AND(F17&gt;=1,F17&lt;=6),E17-F17*50-16,IF(F17=0.01,E17-16,IF(F17=0,0,IF(F17&gt;6,E17-316,0))))</f>
        <v>4</v>
      </c>
    </row>
    <row r="18" spans="1:7" ht="16.5">
      <c r="A18" s="14" t="s">
        <v>261</v>
      </c>
      <c r="B18" s="4">
        <f>VLOOKUP(A18,联盟DKP榜单!A$1:C$598,3,FALSE)-40*COUNTIF(扣分!A:A,A18)</f>
        <v>70</v>
      </c>
      <c r="C18" s="24">
        <f>50*COUNTIF(帮战总榜!A$1:AB$150,$A18)+40*COUNTIF(掠夺!A$1:AB$150,$A18)</f>
        <v>80</v>
      </c>
      <c r="D18" s="24">
        <f>20*COUNTIF(YY统计!A$2:M$150,$A18)</f>
        <v>60</v>
      </c>
      <c r="E18" s="24">
        <f>SUM(B18:D18)</f>
        <v>210</v>
      </c>
      <c r="F18" s="24">
        <f>IF(AND(E18&gt;=16,E18&lt;66),0.01,ROUNDDOWN((E18-16)/50,0))</f>
        <v>3</v>
      </c>
      <c r="G18" s="13">
        <f>IF(AND(F18&gt;=1,F18&lt;=6),E18-F18*50-16,IF(F18=0.01,E18-16,IF(F18=0,0,IF(F18&gt;6,E18-316,0))))</f>
        <v>44</v>
      </c>
    </row>
    <row r="19" spans="1:7" ht="16.5">
      <c r="A19" s="14" t="s">
        <v>543</v>
      </c>
      <c r="B19" s="4">
        <f>VLOOKUP(A19,联盟DKP榜单!A$1:C$598,3,FALSE)-40*COUNTIF(扣分!A:A,A19)</f>
        <v>70</v>
      </c>
      <c r="C19" s="24">
        <f>50*COUNTIF(帮战总榜!A$1:AB$150,$A19)+40*COUNTIF(掠夺!A$1:AB$150,$A19)</f>
        <v>80</v>
      </c>
      <c r="D19" s="24">
        <f>20*COUNTIF(YY统计!A$2:M$150,$A19)</f>
        <v>40</v>
      </c>
      <c r="E19" s="24">
        <f>SUM(B19:D19)</f>
        <v>190</v>
      </c>
      <c r="F19" s="24">
        <f>IF(AND(E19&gt;=16,E19&lt;66),0.01,ROUNDDOWN((E19-16)/50,0))</f>
        <v>3</v>
      </c>
      <c r="G19" s="13">
        <f>IF(AND(F19&gt;=1,F19&lt;=6),E19-F19*50-16,IF(F19=0.01,E19-16,IF(F19=0,0,IF(F19&gt;6,E19-316,0))))</f>
        <v>24</v>
      </c>
    </row>
    <row r="20" spans="1:7" ht="16.5">
      <c r="A20" s="14" t="s">
        <v>271</v>
      </c>
      <c r="B20" s="4">
        <f>VLOOKUP(A20,联盟DKP榜单!A$1:C$598,3,FALSE)-40*COUNTIF(扣分!A:A,A20)</f>
        <v>105</v>
      </c>
      <c r="C20" s="24">
        <f>50*COUNTIF(帮战总榜!A$1:AB$150,$A20)+40*COUNTIF(掠夺!A$1:AB$150,$A20)</f>
        <v>40</v>
      </c>
      <c r="D20" s="24">
        <f>20*COUNTIF(YY统计!A$2:M$150,$A20)</f>
        <v>0</v>
      </c>
      <c r="E20" s="24">
        <f>SUM(B20:D20)</f>
        <v>145</v>
      </c>
      <c r="F20" s="24">
        <f>IF(AND(E20&gt;=16,E20&lt;66),0.01,ROUNDDOWN((E20-16)/50,0))</f>
        <v>2</v>
      </c>
      <c r="G20" s="13">
        <f>IF(AND(F20&gt;=1,F20&lt;=6),E20-F20*50-16,IF(F20=0.01,E20-16,IF(F20=0,0,IF(F20&gt;6,E20-316,0))))</f>
        <v>29</v>
      </c>
    </row>
    <row r="21" spans="1:7" ht="16.5">
      <c r="A21" s="14" t="s">
        <v>325</v>
      </c>
      <c r="B21" s="4">
        <f>VLOOKUP(A21,联盟DKP榜单!A$1:C$598,3,FALSE)-40*COUNTIF(扣分!A:A,A21)</f>
        <v>105</v>
      </c>
      <c r="C21" s="24">
        <f>50*COUNTIF(帮战总榜!A$1:AB$150,$A21)+40*COUNTIF(掠夺!A$1:AB$150,$A21)</f>
        <v>0</v>
      </c>
      <c r="D21" s="24">
        <f>20*COUNTIF(YY统计!A$2:M$150,$A21)</f>
        <v>20</v>
      </c>
      <c r="E21" s="24">
        <f>SUM(B21:D21)</f>
        <v>125</v>
      </c>
      <c r="F21" s="24">
        <f>IF(AND(E21&gt;=16,E21&lt;66),0.01,ROUNDDOWN((E21-16)/50,0))</f>
        <v>2</v>
      </c>
      <c r="G21" s="13">
        <f>IF(AND(F21&gt;=1,F21&lt;=6),E21-F21*50-16,IF(F21=0.01,E21-16,IF(F21=0,0,IF(F21&gt;6,E21-316,0))))</f>
        <v>9</v>
      </c>
    </row>
    <row r="22" spans="1:7" ht="16.5">
      <c r="A22" s="14" t="s">
        <v>554</v>
      </c>
      <c r="B22" s="4">
        <f>VLOOKUP(A22,联盟DKP榜单!A$1:C$598,3,FALSE)-40*COUNTIF(扣分!A:A,A22)</f>
        <v>105</v>
      </c>
      <c r="C22" s="24">
        <f>50*COUNTIF(帮战总榜!A$1:AB$150,$A22)+40*COUNTIF(掠夺!A$1:AB$150,$A22)</f>
        <v>40</v>
      </c>
      <c r="D22" s="24">
        <f>20*COUNTIF(YY统计!A$2:M$150,$A22)</f>
        <v>20</v>
      </c>
      <c r="E22" s="24">
        <f>SUM(B22:D22)</f>
        <v>165</v>
      </c>
      <c r="F22" s="24">
        <f>IF(AND(E22&gt;=16,E22&lt;66),0.01,ROUNDDOWN((E22-16)/50,0))</f>
        <v>2</v>
      </c>
      <c r="G22" s="13">
        <f>IF(AND(F22&gt;=1,F22&lt;=6),E22-F22*50-16,IF(F22=0.01,E22-16,IF(F22=0,0,IF(F22&gt;6,E22-316,0))))</f>
        <v>49</v>
      </c>
    </row>
    <row r="23" spans="1:7" ht="16.5">
      <c r="A23" s="14" t="s">
        <v>269</v>
      </c>
      <c r="B23" s="4">
        <f>VLOOKUP(A23,联盟DKP榜单!A$1:C$598,3,FALSE)-40*COUNTIF(扣分!A:A,A23)</f>
        <v>105</v>
      </c>
      <c r="C23" s="24">
        <f>50*COUNTIF(帮战总榜!A$1:AB$150,$A23)+40*COUNTIF(掠夺!A$1:AB$150,$A23)</f>
        <v>0</v>
      </c>
      <c r="D23" s="24">
        <f>20*COUNTIF(YY统计!A$2:M$150,$A23)</f>
        <v>60</v>
      </c>
      <c r="E23" s="24">
        <f>SUM(B23:D23)</f>
        <v>165</v>
      </c>
      <c r="F23" s="24">
        <f>IF(AND(E23&gt;=16,E23&lt;66),0.01,ROUNDDOWN((E23-16)/50,0))</f>
        <v>2</v>
      </c>
      <c r="G23" s="13">
        <f>IF(AND(F23&gt;=1,F23&lt;=6),E23-F23*50-16,IF(F23=0.01,E23-16,IF(F23=0,0,IF(F23&gt;6,E23-316,0))))</f>
        <v>49</v>
      </c>
    </row>
    <row r="24" spans="1:7" ht="16.5">
      <c r="A24" s="14" t="s">
        <v>559</v>
      </c>
      <c r="B24" s="4">
        <f>VLOOKUP(A24,联盟DKP榜单!A$1:C$598,3,FALSE)-40*COUNTIF(扣分!A:A,A24)</f>
        <v>105</v>
      </c>
      <c r="C24" s="24">
        <f>50*COUNTIF(帮战总榜!A$1:AB$150,$A24)+40*COUNTIF(掠夺!A$1:AB$150,$A24)</f>
        <v>0</v>
      </c>
      <c r="D24" s="24">
        <f>20*COUNTIF(YY统计!A$2:M$150,$A24)</f>
        <v>20</v>
      </c>
      <c r="E24" s="24">
        <f>SUM(B24:D24)</f>
        <v>125</v>
      </c>
      <c r="F24" s="24">
        <f>IF(AND(E24&gt;=16,E24&lt;66),0.01,ROUNDDOWN((E24-16)/50,0))</f>
        <v>2</v>
      </c>
      <c r="G24" s="13">
        <f>IF(AND(F24&gt;=1,F24&lt;=6),E24-F24*50-16,IF(F24=0.01,E24-16,IF(F24=0,0,IF(F24&gt;6,E24-316,0))))</f>
        <v>9</v>
      </c>
    </row>
    <row r="25" spans="1:7" ht="16.5">
      <c r="A25" s="14" t="s">
        <v>281</v>
      </c>
      <c r="B25" s="4">
        <f>VLOOKUP(A25,联盟DKP榜单!A$1:C$598,3,FALSE)-40*COUNTIF(扣分!A:A,A25)</f>
        <v>72</v>
      </c>
      <c r="C25" s="24">
        <f>50*COUNTIF(帮战总榜!A$1:AB$150,$A25)+40*COUNTIF(掠夺!A$1:AB$150,$A25)</f>
        <v>0</v>
      </c>
      <c r="D25" s="24">
        <f>20*COUNTIF(YY统计!A$2:M$150,$A25)</f>
        <v>60</v>
      </c>
      <c r="E25" s="24">
        <f>SUM(B25:D25)</f>
        <v>132</v>
      </c>
      <c r="F25" s="24">
        <f>IF(AND(E25&gt;=16,E25&lt;66),0.01,ROUNDDOWN((E25-16)/50,0))</f>
        <v>2</v>
      </c>
      <c r="G25" s="13">
        <f>IF(AND(F25&gt;=1,F25&lt;=6),E25-F25*50-16,IF(F25=0.01,E25-16,IF(F25=0,0,IF(F25&gt;6,E25-316,0))))</f>
        <v>16</v>
      </c>
    </row>
    <row r="26" spans="1:7" ht="16.5">
      <c r="A26" s="14" t="s">
        <v>552</v>
      </c>
      <c r="B26" s="4">
        <f>VLOOKUP(A26,联盟DKP榜单!A$1:C$598,3,FALSE)-40*COUNTIF(扣分!A:A,A26)</f>
        <v>70</v>
      </c>
      <c r="C26" s="24">
        <f>50*COUNTIF(帮战总榜!A$1:AB$150,$A26)+40*COUNTIF(掠夺!A$1:AB$150,$A26)</f>
        <v>40</v>
      </c>
      <c r="D26" s="24">
        <f>20*COUNTIF(YY统计!A$2:M$150,$A26)</f>
        <v>20</v>
      </c>
      <c r="E26" s="24">
        <f>SUM(B26:D26)</f>
        <v>130</v>
      </c>
      <c r="F26" s="24">
        <f>IF(AND(E26&gt;=16,E26&lt;66),0.01,ROUNDDOWN((E26-16)/50,0))</f>
        <v>2</v>
      </c>
      <c r="G26" s="13">
        <f>IF(AND(F26&gt;=1,F26&lt;=6),E26-F26*50-16,IF(F26=0.01,E26-16,IF(F26=0,0,IF(F26&gt;6,E26-316,0))))</f>
        <v>14</v>
      </c>
    </row>
    <row r="27" spans="1:7" ht="16.5">
      <c r="A27" s="14" t="s">
        <v>521</v>
      </c>
      <c r="B27" s="4">
        <f>VLOOKUP(A27,联盟DKP榜单!A$1:C$598,3,FALSE)-40*COUNTIF(扣分!A:A,A27)</f>
        <v>70</v>
      </c>
      <c r="C27" s="24">
        <f>50*COUNTIF(帮战总榜!A$1:AB$150,$A27)+40*COUNTIF(掠夺!A$1:AB$150,$A27)</f>
        <v>80</v>
      </c>
      <c r="D27" s="24">
        <f>20*COUNTIF(YY统计!A$2:M$150,$A27)</f>
        <v>0</v>
      </c>
      <c r="E27" s="24">
        <f>SUM(B27:D27)</f>
        <v>150</v>
      </c>
      <c r="F27" s="24">
        <f>IF(AND(E27&gt;=16,E27&lt;66),0.01,ROUNDDOWN((E27-16)/50,0))</f>
        <v>2</v>
      </c>
      <c r="G27" s="13">
        <f>IF(AND(F27&gt;=1,F27&lt;=6),E27-F27*50-16,IF(F27=0.01,E27-16,IF(F27=0,0,IF(F27&gt;6,E27-316,0))))</f>
        <v>34</v>
      </c>
    </row>
    <row r="28" spans="1:7" ht="16.5">
      <c r="A28" s="14" t="s">
        <v>47</v>
      </c>
      <c r="B28" s="4">
        <f>VLOOKUP(A28,联盟DKP榜单!A$1:C$598,3,FALSE)-40*COUNTIF(扣分!A:A,A28)</f>
        <v>70</v>
      </c>
      <c r="C28" s="24">
        <f>50*COUNTIF(帮战总榜!A$1:AB$150,$A28)+40*COUNTIF(掠夺!A$1:AB$150,$A28)</f>
        <v>0</v>
      </c>
      <c r="D28" s="24">
        <f>20*COUNTIF(YY统计!A$2:M$150,$A28)</f>
        <v>60</v>
      </c>
      <c r="E28" s="24">
        <f>SUM(B28:D28)</f>
        <v>130</v>
      </c>
      <c r="F28" s="24">
        <f>IF(AND(E28&gt;=16,E28&lt;66),0.01,ROUNDDOWN((E28-16)/50,0))</f>
        <v>2</v>
      </c>
      <c r="G28" s="13">
        <f>IF(AND(F28&gt;=1,F28&lt;=6),E28-F28*50-16,IF(F28=0.01,E28-16,IF(F28=0,0,IF(F28&gt;6,E28-316,0))))</f>
        <v>14</v>
      </c>
    </row>
    <row r="29" spans="1:7" ht="16.5">
      <c r="A29" s="14" t="s">
        <v>549</v>
      </c>
      <c r="B29" s="4">
        <f>VLOOKUP(A29,联盟DKP榜单!A$1:C$598,3,FALSE)-40*COUNTIF(扣分!A:A,A29)</f>
        <v>35</v>
      </c>
      <c r="C29" s="24">
        <f>50*COUNTIF(帮战总榜!A$1:AB$150,$A29)+40*COUNTIF(掠夺!A$1:AB$150,$A29)</f>
        <v>40</v>
      </c>
      <c r="D29" s="24">
        <f>20*COUNTIF(YY统计!A$2:M$150,$A29)</f>
        <v>60</v>
      </c>
      <c r="E29" s="24">
        <f>SUM(B29:D29)</f>
        <v>135</v>
      </c>
      <c r="F29" s="24">
        <f>IF(AND(E29&gt;=16,E29&lt;66),0.01,ROUNDDOWN((E29-16)/50,0))</f>
        <v>2</v>
      </c>
      <c r="G29" s="13">
        <f>IF(AND(F29&gt;=1,F29&lt;=6),E29-F29*50-16,IF(F29=0.01,E29-16,IF(F29=0,0,IF(F29&gt;6,E29-316,0))))</f>
        <v>19</v>
      </c>
    </row>
    <row r="30" spans="1:7" ht="16.5">
      <c r="A30" s="14" t="s">
        <v>516</v>
      </c>
      <c r="B30" s="4">
        <f>VLOOKUP(A30,联盟DKP榜单!A$1:C$598,3,FALSE)-40*COUNTIF(扣分!A:A,A30)</f>
        <v>35</v>
      </c>
      <c r="C30" s="24">
        <f>50*COUNTIF(帮战总榜!A$1:AB$150,$A30)+40*COUNTIF(掠夺!A$1:AB$150,$A30)</f>
        <v>80</v>
      </c>
      <c r="D30" s="24">
        <f>20*COUNTIF(YY统计!A$2:M$150,$A30)</f>
        <v>40</v>
      </c>
      <c r="E30" s="24">
        <f>SUM(B30:D30)</f>
        <v>155</v>
      </c>
      <c r="F30" s="24">
        <f>IF(AND(E30&gt;=16,E30&lt;66),0.01,ROUNDDOWN((E30-16)/50,0))</f>
        <v>2</v>
      </c>
      <c r="G30" s="13">
        <f>IF(AND(F30&gt;=1,F30&lt;=6),E30-F30*50-16,IF(F30=0.01,E30-16,IF(F30=0,0,IF(F30&gt;6,E30-316,0))))</f>
        <v>39</v>
      </c>
    </row>
    <row r="31" spans="1:7" ht="16.5">
      <c r="A31" s="14" t="s">
        <v>558</v>
      </c>
      <c r="B31" s="4">
        <f>VLOOKUP(A31,联盟DKP榜单!A$1:C$598,3,FALSE)-40*COUNTIF(扣分!A:A,A31)</f>
        <v>105</v>
      </c>
      <c r="C31" s="24">
        <f>50*COUNTIF(帮战总榜!A$1:AB$150,$A31)+40*COUNTIF(掠夺!A$1:AB$150,$A31)</f>
        <v>0</v>
      </c>
      <c r="D31" s="24">
        <f>20*COUNTIF(YY统计!A$2:M$150,$A31)</f>
        <v>0</v>
      </c>
      <c r="E31" s="24">
        <f>SUM(B31:D31)</f>
        <v>105</v>
      </c>
      <c r="F31" s="24">
        <f>IF(AND(E31&gt;=16,E31&lt;66),0.01,ROUNDDOWN((E31-16)/50,0))</f>
        <v>1</v>
      </c>
      <c r="G31" s="13">
        <f>IF(AND(F31&gt;=1,F31&lt;=6),E31-F31*50-16,IF(F31=0.01,E31-16,IF(F31=0,0,IF(F31&gt;6,E31-316,0))))</f>
        <v>39</v>
      </c>
    </row>
    <row r="32" spans="1:7" ht="16.5">
      <c r="A32" s="14" t="s">
        <v>320</v>
      </c>
      <c r="B32" s="4">
        <f>VLOOKUP(A32,联盟DKP榜单!A$1:C$598,3,FALSE)-40*COUNTIF(扣分!A:A,A32)</f>
        <v>71</v>
      </c>
      <c r="C32" s="24">
        <f>50*COUNTIF(帮战总榜!A$1:AB$150,$A32)+40*COUNTIF(掠夺!A$1:AB$150,$A32)</f>
        <v>0</v>
      </c>
      <c r="D32" s="24">
        <f>20*COUNTIF(YY统计!A$2:M$150,$A32)</f>
        <v>0</v>
      </c>
      <c r="E32" s="24">
        <f>SUM(B32:D32)</f>
        <v>71</v>
      </c>
      <c r="F32" s="24">
        <f>IF(AND(E32&gt;=16,E32&lt;66),0.01,ROUNDDOWN((E32-16)/50,0))</f>
        <v>1</v>
      </c>
      <c r="G32" s="13">
        <f>IF(AND(F32&gt;=1,F32&lt;=6),E32-F32*50-16,IF(F32=0.01,E32-16,IF(F32=0,0,IF(F32&gt;6,E32-316,0))))</f>
        <v>5</v>
      </c>
    </row>
    <row r="33" spans="1:7" ht="16.5">
      <c r="A33" s="14" t="s">
        <v>329</v>
      </c>
      <c r="B33" s="4">
        <f>VLOOKUP(A33,联盟DKP榜单!A$1:C$598,3,FALSE)-40*COUNTIF(扣分!A:A,A33)</f>
        <v>70</v>
      </c>
      <c r="C33" s="24">
        <f>50*COUNTIF(帮战总榜!A$1:AB$150,$A33)+40*COUNTIF(掠夺!A$1:AB$150,$A33)</f>
        <v>0</v>
      </c>
      <c r="D33" s="24">
        <f>20*COUNTIF(YY统计!A$2:M$150,$A33)</f>
        <v>0</v>
      </c>
      <c r="E33" s="24">
        <f>SUM(B33:D33)</f>
        <v>70</v>
      </c>
      <c r="F33" s="24">
        <f>IF(AND(E33&gt;=16,E33&lt;66),0.01,ROUNDDOWN((E33-16)/50,0))</f>
        <v>1</v>
      </c>
      <c r="G33" s="13">
        <f>IF(AND(F33&gt;=1,F33&lt;=6),E33-F33*50-16,IF(F33=0.01,E33-16,IF(F33=0,0,IF(F33&gt;6,E33-316,0))))</f>
        <v>4</v>
      </c>
    </row>
    <row r="34" spans="1:7" ht="16.5">
      <c r="A34" s="14" t="s">
        <v>436</v>
      </c>
      <c r="B34" s="4">
        <f>VLOOKUP(A34,联盟DKP榜单!A$1:C$598,3,FALSE)-40*COUNTIF(扣分!A:A,A34)</f>
        <v>70</v>
      </c>
      <c r="C34" s="24">
        <f>50*COUNTIF(帮战总榜!A$1:AB$150,$A34)+40*COUNTIF(掠夺!A$1:AB$150,$A34)</f>
        <v>0</v>
      </c>
      <c r="D34" s="24">
        <f>20*COUNTIF(YY统计!A$2:M$150,$A34)</f>
        <v>0</v>
      </c>
      <c r="E34" s="24">
        <f>SUM(B34:D34)</f>
        <v>70</v>
      </c>
      <c r="F34" s="24">
        <f>IF(AND(E34&gt;=16,E34&lt;66),0.01,ROUNDDOWN((E34-16)/50,0))</f>
        <v>1</v>
      </c>
      <c r="G34" s="13">
        <f>IF(AND(F34&gt;=1,F34&lt;=6),E34-F34*50-16,IF(F34=0.01,E34-16,IF(F34=0,0,IF(F34&gt;6,E34-316,0))))</f>
        <v>4</v>
      </c>
    </row>
    <row r="35" spans="1:7" ht="16.5">
      <c r="A35" s="14" t="s">
        <v>509</v>
      </c>
      <c r="B35" s="4">
        <f>VLOOKUP(A35,联盟DKP榜单!A$1:C$598,3,FALSE)-40*COUNTIF(扣分!A:A,A35)</f>
        <v>70</v>
      </c>
      <c r="C35" s="24">
        <f>50*COUNTIF(帮战总榜!A$1:AB$150,$A35)+40*COUNTIF(掠夺!A$1:AB$150,$A35)</f>
        <v>0</v>
      </c>
      <c r="D35" s="24">
        <f>20*COUNTIF(YY统计!A$2:M$150,$A35)</f>
        <v>0</v>
      </c>
      <c r="E35" s="24">
        <f>SUM(B35:D35)</f>
        <v>70</v>
      </c>
      <c r="F35" s="24">
        <f>IF(AND(E35&gt;=16,E35&lt;66),0.01,ROUNDDOWN((E35-16)/50,0))</f>
        <v>1</v>
      </c>
      <c r="G35" s="13">
        <f>IF(AND(F35&gt;=1,F35&lt;=6),E35-F35*50-16,IF(F35=0.01,E35-16,IF(F35=0,0,IF(F35&gt;6,E35-316,0))))</f>
        <v>4</v>
      </c>
    </row>
    <row r="36" spans="1:7" ht="16.5">
      <c r="A36" s="14" t="s">
        <v>564</v>
      </c>
      <c r="B36" s="4">
        <f>VLOOKUP(A36,联盟DKP榜单!A$1:C$598,3,FALSE)-40*COUNTIF(扣分!A:A,A36)</f>
        <v>70</v>
      </c>
      <c r="C36" s="24">
        <f>50*COUNTIF(帮战总榜!A$1:AB$150,$A36)+40*COUNTIF(掠夺!A$1:AB$150,$A36)</f>
        <v>0</v>
      </c>
      <c r="D36" s="24">
        <f>20*COUNTIF(YY统计!A$2:M$150,$A36)</f>
        <v>0</v>
      </c>
      <c r="E36" s="24">
        <f>SUM(B36:D36)</f>
        <v>70</v>
      </c>
      <c r="F36" s="24">
        <f>IF(AND(E36&gt;=16,E36&lt;66),0.01,ROUNDDOWN((E36-16)/50,0))</f>
        <v>1</v>
      </c>
      <c r="G36" s="13">
        <f>IF(AND(F36&gt;=1,F36&lt;=6),E36-F36*50-16,IF(F36=0.01,E36-16,IF(F36=0,0,IF(F36&gt;6,E36-316,0))))</f>
        <v>4</v>
      </c>
    </row>
    <row r="37" spans="1:7" ht="16.5">
      <c r="A37" s="14" t="s">
        <v>324</v>
      </c>
      <c r="B37" s="4">
        <f>VLOOKUP(A37,联盟DKP榜单!A$1:C$598,3,FALSE)-40*COUNTIF(扣分!A:A,A37)</f>
        <v>70</v>
      </c>
      <c r="C37" s="24">
        <f>50*COUNTIF(帮战总榜!A$1:AB$150,$A37)+40*COUNTIF(掠夺!A$1:AB$150,$A37)</f>
        <v>0</v>
      </c>
      <c r="D37" s="24">
        <f>20*COUNTIF(YY统计!A$2:M$150,$A37)</f>
        <v>0</v>
      </c>
      <c r="E37" s="24">
        <f>SUM(B37:D37)</f>
        <v>70</v>
      </c>
      <c r="F37" s="24">
        <f>IF(AND(E37&gt;=16,E37&lt;66),0.01,ROUNDDOWN((E37-16)/50,0))</f>
        <v>1</v>
      </c>
      <c r="G37" s="13">
        <f>IF(AND(F37&gt;=1,F37&lt;=6),E37-F37*50-16,IF(F37=0.01,E37-16,IF(F37=0,0,IF(F37&gt;6,E37-316,0))))</f>
        <v>4</v>
      </c>
    </row>
    <row r="38" spans="1:7" ht="16.5">
      <c r="A38" s="14" t="s">
        <v>268</v>
      </c>
      <c r="B38" s="4">
        <f>VLOOKUP(A38,联盟DKP榜单!A$1:C$598,3,FALSE)-40*COUNTIF(扣分!A:A,A38)</f>
        <v>70</v>
      </c>
      <c r="C38" s="24">
        <f>50*COUNTIF(帮战总榜!A$1:AB$150,$A38)+40*COUNTIF(掠夺!A$1:AB$150,$A38)</f>
        <v>0</v>
      </c>
      <c r="D38" s="24">
        <f>20*COUNTIF(YY统计!A$2:M$150,$A38)</f>
        <v>0</v>
      </c>
      <c r="E38" s="24">
        <f>SUM(B38:D38)</f>
        <v>70</v>
      </c>
      <c r="F38" s="24">
        <f>IF(AND(E38&gt;=16,E38&lt;66),0.01,ROUNDDOWN((E38-16)/50,0))</f>
        <v>1</v>
      </c>
      <c r="G38" s="13">
        <f>IF(AND(F38&gt;=1,F38&lt;=6),E38-F38*50-16,IF(F38=0.01,E38-16,IF(F38=0,0,IF(F38&gt;6,E38-316,0))))</f>
        <v>4</v>
      </c>
    </row>
    <row r="39" spans="1:7" ht="16.5">
      <c r="A39" s="14" t="s">
        <v>317</v>
      </c>
      <c r="B39" s="4">
        <f>VLOOKUP(A39,联盟DKP榜单!A$1:C$598,3,FALSE)-40*COUNTIF(扣分!A:A,A39)</f>
        <v>70</v>
      </c>
      <c r="C39" s="24">
        <f>50*COUNTIF(帮战总榜!A$1:AB$150,$A39)+40*COUNTIF(掠夺!A$1:AB$150,$A39)</f>
        <v>0</v>
      </c>
      <c r="D39" s="24">
        <f>20*COUNTIF(YY统计!A$2:M$150,$A39)</f>
        <v>0</v>
      </c>
      <c r="E39" s="24">
        <f>SUM(B39:D39)</f>
        <v>70</v>
      </c>
      <c r="F39" s="24">
        <f>IF(AND(E39&gt;=16,E39&lt;66),0.01,ROUNDDOWN((E39-16)/50,0))</f>
        <v>1</v>
      </c>
      <c r="G39" s="13">
        <f>IF(AND(F39&gt;=1,F39&lt;=6),E39-F39*50-16,IF(F39=0.01,E39-16,IF(F39=0,0,IF(F39&gt;6,E39-316,0))))</f>
        <v>4</v>
      </c>
    </row>
    <row r="40" spans="1:7" ht="16.5">
      <c r="A40" s="14" t="s">
        <v>565</v>
      </c>
      <c r="B40" s="4">
        <f>VLOOKUP(A40,联盟DKP榜单!A$1:C$598,3,FALSE)-40*COUNTIF(扣分!A:A,A40)</f>
        <v>70</v>
      </c>
      <c r="C40" s="24">
        <f>50*COUNTIF(帮战总榜!A$1:AB$150,$A40)+40*COUNTIF(掠夺!A$1:AB$150,$A40)</f>
        <v>0</v>
      </c>
      <c r="D40" s="24">
        <f>20*COUNTIF(YY统计!A$2:M$150,$A40)</f>
        <v>0</v>
      </c>
      <c r="E40" s="24">
        <f>SUM(B40:D40)</f>
        <v>70</v>
      </c>
      <c r="F40" s="24">
        <f>IF(AND(E40&gt;=16,E40&lt;66),0.01,ROUNDDOWN((E40-16)/50,0))</f>
        <v>1</v>
      </c>
      <c r="G40" s="13">
        <f>IF(AND(F40&gt;=1,F40&lt;=6),E40-F40*50-16,IF(F40=0.01,E40-16,IF(F40=0,0,IF(F40&gt;6,E40-316,0))))</f>
        <v>4</v>
      </c>
    </row>
    <row r="41" spans="1:7" ht="16.5">
      <c r="A41" s="14" t="s">
        <v>316</v>
      </c>
      <c r="B41" s="4">
        <f>VLOOKUP(A41,联盟DKP榜单!A$1:C$598,3,FALSE)-40*COUNTIF(扣分!A:A,A41)</f>
        <v>70</v>
      </c>
      <c r="C41" s="24">
        <f>50*COUNTIF(帮战总榜!A$1:AB$150,$A41)+40*COUNTIF(掠夺!A$1:AB$150,$A41)</f>
        <v>40</v>
      </c>
      <c r="D41" s="24">
        <f>20*COUNTIF(YY统计!A$2:M$150,$A41)</f>
        <v>0</v>
      </c>
      <c r="E41" s="24">
        <f>SUM(B41:D41)</f>
        <v>110</v>
      </c>
      <c r="F41" s="24">
        <f>IF(AND(E41&gt;=16,E41&lt;66),0.01,ROUNDDOWN((E41-16)/50,0))</f>
        <v>1</v>
      </c>
      <c r="G41" s="13">
        <f>IF(AND(F41&gt;=1,F41&lt;=6),E41-F41*50-16,IF(F41=0.01,E41-16,IF(F41=0,0,IF(F41&gt;6,E41-316,0))))</f>
        <v>44</v>
      </c>
    </row>
    <row r="42" spans="1:7" ht="16.5">
      <c r="A42" s="14" t="s">
        <v>567</v>
      </c>
      <c r="B42" s="4">
        <f>VLOOKUP(A42,联盟DKP榜单!A$1:C$598,3,FALSE)-40*COUNTIF(扣分!A:A,A42)</f>
        <v>70</v>
      </c>
      <c r="C42" s="24">
        <f>50*COUNTIF(帮战总榜!A$1:AB$150,$A42)+40*COUNTIF(掠夺!A$1:AB$150,$A42)</f>
        <v>0</v>
      </c>
      <c r="D42" s="24">
        <f>20*COUNTIF(YY统计!A$2:M$150,$A42)</f>
        <v>0</v>
      </c>
      <c r="E42" s="24">
        <f>SUM(B42:D42)</f>
        <v>70</v>
      </c>
      <c r="F42" s="24">
        <f>IF(AND(E42&gt;=16,E42&lt;66),0.01,ROUNDDOWN((E42-16)/50,0))</f>
        <v>1</v>
      </c>
      <c r="G42" s="13">
        <f>IF(AND(F42&gt;=1,F42&lt;=6),E42-F42*50-16,IF(F42=0.01,E42-16,IF(F42=0,0,IF(F42&gt;6,E42-316,0))))</f>
        <v>4</v>
      </c>
    </row>
    <row r="43" spans="1:7" ht="16.5">
      <c r="A43" s="14" t="s">
        <v>307</v>
      </c>
      <c r="B43" s="4">
        <f>VLOOKUP(A43,联盟DKP榜单!A$1:C$598,3,FALSE)-40*COUNTIF(扣分!A:A,A43)</f>
        <v>70</v>
      </c>
      <c r="C43" s="24">
        <f>50*COUNTIF(帮战总榜!A$1:AB$150,$A43)+40*COUNTIF(掠夺!A$1:AB$150,$A43)</f>
        <v>0</v>
      </c>
      <c r="D43" s="24">
        <f>20*COUNTIF(YY统计!A$2:M$150,$A43)</f>
        <v>0</v>
      </c>
      <c r="E43" s="24">
        <f>SUM(B43:D43)</f>
        <v>70</v>
      </c>
      <c r="F43" s="24">
        <f>IF(AND(E43&gt;=16,E43&lt;66),0.01,ROUNDDOWN((E43-16)/50,0))</f>
        <v>1</v>
      </c>
      <c r="G43" s="13">
        <f>IF(AND(F43&gt;=1,F43&lt;=6),E43-F43*50-16,IF(F43=0.01,E43-16,IF(F43=0,0,IF(F43&gt;6,E43-316,0))))</f>
        <v>4</v>
      </c>
    </row>
    <row r="44" spans="1:7" ht="16.5">
      <c r="A44" s="14" t="s">
        <v>528</v>
      </c>
      <c r="B44" s="4">
        <f>VLOOKUP(A44,联盟DKP榜单!A$1:C$598,3,FALSE)-40*COUNTIF(扣分!A:A,A44)</f>
        <v>70</v>
      </c>
      <c r="C44" s="24">
        <f>50*COUNTIF(帮战总榜!A$1:AB$150,$A44)+40*COUNTIF(掠夺!A$1:AB$150,$A44)</f>
        <v>40</v>
      </c>
      <c r="D44" s="24">
        <f>20*COUNTIF(YY统计!A$2:M$150,$A44)</f>
        <v>0</v>
      </c>
      <c r="E44" s="24">
        <f>SUM(B44:D44)</f>
        <v>110</v>
      </c>
      <c r="F44" s="24">
        <f>IF(AND(E44&gt;=16,E44&lt;66),0.01,ROUNDDOWN((E44-16)/50,0))</f>
        <v>1</v>
      </c>
      <c r="G44" s="13">
        <f>IF(AND(F44&gt;=1,F44&lt;=6),E44-F44*50-16,IF(F44=0.01,E44-16,IF(F44=0,0,IF(F44&gt;6,E44-316,0))))</f>
        <v>44</v>
      </c>
    </row>
    <row r="45" spans="1:7" ht="16.5">
      <c r="A45" s="14" t="s">
        <v>568</v>
      </c>
      <c r="B45" s="4">
        <f>VLOOKUP(A45,联盟DKP榜单!A$1:C$598,3,FALSE)-40*COUNTIF(扣分!A:A,A45)</f>
        <v>35</v>
      </c>
      <c r="C45" s="24">
        <f>50*COUNTIF(帮战总榜!A$1:AB$150,$A45)+40*COUNTIF(掠夺!A$1:AB$150,$A45)</f>
        <v>0</v>
      </c>
      <c r="D45" s="24">
        <f>20*COUNTIF(YY统计!A$2:M$150,$A45)</f>
        <v>0</v>
      </c>
      <c r="E45" s="24">
        <f>SUM(B45:D45)</f>
        <v>35</v>
      </c>
      <c r="F45" s="24">
        <f>IF(AND(E45&gt;=16,E45&lt;66),0.01,ROUNDDOWN((E45-16)/50,0))</f>
        <v>0.01</v>
      </c>
      <c r="G45" s="13">
        <f>IF(AND(F45&gt;=1,F45&lt;=6),E45-F45*50-16,IF(F45=0.01,E45-16,IF(F45=0,0,IF(F45&gt;6,E45-316,0))))</f>
        <v>19</v>
      </c>
    </row>
    <row r="46" spans="1:7" ht="16.5">
      <c r="A46" s="14" t="s">
        <v>510</v>
      </c>
      <c r="B46" s="4">
        <f>VLOOKUP(A46,联盟DKP榜单!A$1:C$598,3,FALSE)-40*COUNTIF(扣分!A:A,A46)</f>
        <v>35</v>
      </c>
      <c r="C46" s="24">
        <f>50*COUNTIF(帮战总榜!A$1:AB$150,$A46)+40*COUNTIF(掠夺!A$1:AB$150,$A46)</f>
        <v>0</v>
      </c>
      <c r="D46" s="24">
        <f>20*COUNTIF(YY统计!A$2:M$150,$A46)</f>
        <v>0</v>
      </c>
      <c r="E46" s="24">
        <f>SUM(B46:D46)</f>
        <v>35</v>
      </c>
      <c r="F46" s="24">
        <f>IF(AND(E46&gt;=16,E46&lt;66),0.01,ROUNDDOWN((E46-16)/50,0))</f>
        <v>0.01</v>
      </c>
      <c r="G46" s="13">
        <f>IF(AND(F46&gt;=1,F46&lt;=6),E46-F46*50-16,IF(F46=0.01,E46-16,IF(F46=0,0,IF(F46&gt;6,E46-316,0))))</f>
        <v>19</v>
      </c>
    </row>
    <row r="47" spans="1:7" ht="16.5">
      <c r="A47" s="14" t="s">
        <v>279</v>
      </c>
      <c r="B47" s="4">
        <f>VLOOKUP(A47,联盟DKP榜单!A$1:C$598,3,FALSE)-40*COUNTIF(扣分!A:A,A47)</f>
        <v>35</v>
      </c>
      <c r="C47" s="24">
        <f>50*COUNTIF(帮战总榜!A$1:AB$150,$A47)+40*COUNTIF(掠夺!A$1:AB$150,$A47)</f>
        <v>0</v>
      </c>
      <c r="D47" s="24">
        <f>20*COUNTIF(YY统计!A$2:M$150,$A47)</f>
        <v>0</v>
      </c>
      <c r="E47" s="24">
        <f>SUM(B47:D47)</f>
        <v>35</v>
      </c>
      <c r="F47" s="24">
        <f>IF(AND(E47&gt;=16,E47&lt;66),0.01,ROUNDDOWN((E47-16)/50,0))</f>
        <v>0.01</v>
      </c>
      <c r="G47" s="13">
        <f>IF(AND(F47&gt;=1,F47&lt;=6),E47-F47*50-16,IF(F47=0.01,E47-16,IF(F47=0,0,IF(F47&gt;6,E47-316,0))))</f>
        <v>19</v>
      </c>
    </row>
    <row r="48" spans="1:7" ht="16.5">
      <c r="A48" s="14" t="s">
        <v>525</v>
      </c>
      <c r="B48" s="4">
        <f>VLOOKUP(A48,联盟DKP榜单!A$1:C$598,3,FALSE)-40*COUNTIF(扣分!A:A,A48)</f>
        <v>35</v>
      </c>
      <c r="C48" s="24">
        <f>50*COUNTIF(帮战总榜!A$1:AB$150,$A48)+40*COUNTIF(掠夺!A$1:AB$150,$A48)</f>
        <v>0</v>
      </c>
      <c r="D48" s="24">
        <f>20*COUNTIF(YY统计!A$2:M$150,$A48)</f>
        <v>0</v>
      </c>
      <c r="E48" s="24">
        <f>SUM(B48:D48)</f>
        <v>35</v>
      </c>
      <c r="F48" s="24">
        <f>IF(AND(E48&gt;=16,E48&lt;66),0.01,ROUNDDOWN((E48-16)/50,0))</f>
        <v>0.01</v>
      </c>
      <c r="G48" s="13">
        <f>IF(AND(F48&gt;=1,F48&lt;=6),E48-F48*50-16,IF(F48=0.01,E48-16,IF(F48=0,0,IF(F48&gt;6,E48-316,0))))</f>
        <v>19</v>
      </c>
    </row>
    <row r="49" spans="1:7" ht="16.5">
      <c r="A49" s="14" t="s">
        <v>303</v>
      </c>
      <c r="B49" s="4">
        <f>VLOOKUP(A49,联盟DKP榜单!A$1:C$598,3,FALSE)-40*COUNTIF(扣分!A:A,A49)</f>
        <v>35</v>
      </c>
      <c r="C49" s="24">
        <f>50*COUNTIF(帮战总榜!A$1:AB$150,$A49)+40*COUNTIF(掠夺!A$1:AB$150,$A49)</f>
        <v>0</v>
      </c>
      <c r="D49" s="24">
        <f>20*COUNTIF(YY统计!A$2:M$150,$A49)</f>
        <v>0</v>
      </c>
      <c r="E49" s="24">
        <f>SUM(B49:D49)</f>
        <v>35</v>
      </c>
      <c r="F49" s="24">
        <f>IF(AND(E49&gt;=16,E49&lt;66),0.01,ROUNDDOWN((E49-16)/50,0))</f>
        <v>0.01</v>
      </c>
      <c r="G49" s="13">
        <f>IF(AND(F49&gt;=1,F49&lt;=6),E49-F49*50-16,IF(F49=0.01,E49-16,IF(F49=0,0,IF(F49&gt;6,E49-316,0))))</f>
        <v>19</v>
      </c>
    </row>
    <row r="50" spans="1:7" ht="16.5">
      <c r="A50" s="14" t="s">
        <v>572</v>
      </c>
      <c r="B50" s="4">
        <f>VLOOKUP(A50,联盟DKP榜单!A$1:C$598,3,FALSE)-40*COUNTIF(扣分!A:A,A50)</f>
        <v>35</v>
      </c>
      <c r="C50" s="24">
        <f>50*COUNTIF(帮战总榜!A$1:AB$150,$A50)+40*COUNTIF(掠夺!A$1:AB$150,$A50)</f>
        <v>0</v>
      </c>
      <c r="D50" s="24">
        <f>20*COUNTIF(YY统计!A$2:M$150,$A50)</f>
        <v>0</v>
      </c>
      <c r="E50" s="24">
        <f>SUM(B50:D50)</f>
        <v>35</v>
      </c>
      <c r="F50" s="24">
        <f>IF(AND(E50&gt;=16,E50&lt;66),0.01,ROUNDDOWN((E50-16)/50,0))</f>
        <v>0.01</v>
      </c>
      <c r="G50" s="13">
        <f>IF(AND(F50&gt;=1,F50&lt;=6),E50-F50*50-16,IF(F50=0.01,E50-16,IF(F50=0,0,IF(F50&gt;6,E50-316,0))))</f>
        <v>19</v>
      </c>
    </row>
    <row r="51" spans="1:7" ht="16.5">
      <c r="A51" s="14" t="s">
        <v>515</v>
      </c>
      <c r="B51" s="4">
        <f>VLOOKUP(A51,联盟DKP榜单!A$1:C$598,3,FALSE)-40*COUNTIF(扣分!A:A,A51)</f>
        <v>20</v>
      </c>
      <c r="C51" s="24">
        <f>50*COUNTIF(帮战总榜!A$1:AB$150,$A51)+40*COUNTIF(掠夺!A$1:AB$150,$A51)</f>
        <v>40</v>
      </c>
      <c r="D51" s="24">
        <f>20*COUNTIF(YY统计!A$2:M$150,$A51)</f>
        <v>0</v>
      </c>
      <c r="E51" s="24">
        <f>SUM(B51:D51)</f>
        <v>60</v>
      </c>
      <c r="F51" s="24">
        <f>IF(AND(E51&gt;=16,E51&lt;66),0.01,ROUNDDOWN((E51-16)/50,0))</f>
        <v>0.01</v>
      </c>
      <c r="G51" s="13">
        <f>IF(AND(F51&gt;=1,F51&lt;=6),E51-F51*50-16,IF(F51=0.01,E51-16,IF(F51=0,0,IF(F51&gt;6,E51-316,0))))</f>
        <v>44</v>
      </c>
    </row>
    <row r="52" spans="1:7" ht="16.5">
      <c r="A52" s="14" t="s">
        <v>276</v>
      </c>
      <c r="B52" s="4">
        <f>VLOOKUP(A52,联盟DKP榜单!A$1:C$598,3,FALSE)-40*COUNTIF(扣分!A:A,A52)</f>
        <v>0</v>
      </c>
      <c r="C52" s="24">
        <f>50*COUNTIF(帮战总榜!A$1:AB$150,$A52)+40*COUNTIF(掠夺!A$1:AB$150,$A52)</f>
        <v>0</v>
      </c>
      <c r="D52" s="24">
        <f>20*COUNTIF(YY统计!A$2:M$150,$A52)</f>
        <v>60</v>
      </c>
      <c r="E52" s="24">
        <f>SUM(B52:D52)</f>
        <v>60</v>
      </c>
      <c r="F52" s="24">
        <f>IF(AND(E52&gt;=16,E52&lt;66),0.01,ROUNDDOWN((E52-16)/50,0))</f>
        <v>0.01</v>
      </c>
      <c r="G52" s="13">
        <f>IF(AND(F52&gt;=1,F52&lt;=6),E52-F52*50-16,IF(F52=0.01,E52-16,IF(F52=0,0,IF(F52&gt;6,E52-316,0))))</f>
        <v>44</v>
      </c>
    </row>
    <row r="53" spans="1:7" ht="16.5">
      <c r="A53" s="14" t="s">
        <v>548</v>
      </c>
      <c r="B53" s="4">
        <f>VLOOKUP(A53,联盟DKP榜单!A$1:C$598,3,FALSE)-40*COUNTIF(扣分!A:A,A53)</f>
        <v>0</v>
      </c>
      <c r="C53" s="24">
        <f>50*COUNTIF(帮战总榜!A$1:AB$150,$A53)+40*COUNTIF(掠夺!A$1:AB$150,$A53)</f>
        <v>40</v>
      </c>
      <c r="D53" s="24">
        <f>20*COUNTIF(YY统计!A$2:M$150,$A53)</f>
        <v>20</v>
      </c>
      <c r="E53" s="24">
        <f>SUM(B53:D53)</f>
        <v>60</v>
      </c>
      <c r="F53" s="24">
        <f>IF(AND(E53&gt;=16,E53&lt;66),0.01,ROUNDDOWN((E53-16)/50,0))</f>
        <v>0.01</v>
      </c>
      <c r="G53" s="13">
        <f>IF(AND(F53&gt;=1,F53&lt;=6),E53-F53*50-16,IF(F53=0.01,E53-16,IF(F53=0,0,IF(F53&gt;6,E53-316,0))))</f>
        <v>44</v>
      </c>
    </row>
    <row r="54" spans="1:7" ht="16.5">
      <c r="A54" s="14" t="s">
        <v>313</v>
      </c>
      <c r="B54" s="4">
        <f>VLOOKUP(A54,联盟DKP榜单!A$1:C$598,3,FALSE)-40*COUNTIF(扣分!A:A,A54)</f>
        <v>0</v>
      </c>
      <c r="C54" s="24">
        <f>50*COUNTIF(帮战总榜!A$1:AB$150,$A54)+40*COUNTIF(掠夺!A$1:AB$150,$A54)</f>
        <v>40</v>
      </c>
      <c r="D54" s="24">
        <f>20*COUNTIF(YY统计!A$2:M$150,$A54)</f>
        <v>20</v>
      </c>
      <c r="E54" s="24">
        <f>SUM(B54:D54)</f>
        <v>60</v>
      </c>
      <c r="F54" s="24">
        <f>IF(AND(E54&gt;=16,E54&lt;66),0.01,ROUNDDOWN((E54-16)/50,0))</f>
        <v>0.01</v>
      </c>
      <c r="G54" s="13">
        <f>IF(AND(F54&gt;=1,F54&lt;=6),E54-F54*50-16,IF(F54=0.01,E54-16,IF(F54=0,0,IF(F54&gt;6,E54-316,0))))</f>
        <v>44</v>
      </c>
    </row>
    <row r="55" spans="1:7" ht="16.5">
      <c r="A55" s="14" t="s">
        <v>272</v>
      </c>
      <c r="B55" s="4">
        <f>VLOOKUP(A55,联盟DKP榜单!A$1:C$598,3,FALSE)-40*COUNTIF(扣分!A:A,A55)</f>
        <v>1</v>
      </c>
      <c r="C55" s="24">
        <f>50*COUNTIF(帮战总榜!A$1:AB$150,$A55)+40*COUNTIF(掠夺!A$1:AB$150,$A55)</f>
        <v>0</v>
      </c>
      <c r="D55" s="24">
        <f>20*COUNTIF(YY统计!A$2:M$150,$A55)</f>
        <v>0</v>
      </c>
      <c r="E55" s="24">
        <f>SUM(B55:D55)</f>
        <v>1</v>
      </c>
      <c r="F55" s="24">
        <f>IF(AND(E55&gt;=16,E55&lt;66),0.01,ROUNDDOWN((E55-16)/50,0))</f>
        <v>0</v>
      </c>
      <c r="G55" s="13">
        <f>IF(AND(F55&gt;=1,F55&lt;=6),E55-F55*50-16,IF(F55=0.01,E55-16,IF(F55=0,0,IF(F55&gt;6,E55-316,0))))</f>
        <v>0</v>
      </c>
    </row>
    <row r="56" spans="1:7" ht="16.5">
      <c r="A56" s="14" t="s">
        <v>580</v>
      </c>
      <c r="B56" s="4">
        <f>VLOOKUP(A56,联盟DKP榜单!A$1:C$598,3,FALSE)-40*COUNTIF(扣分!A:A,A56)</f>
        <v>0</v>
      </c>
      <c r="C56" s="24">
        <f>50*COUNTIF(帮战总榜!A$1:AB$150,$A56)+40*COUNTIF(掠夺!A$1:AB$150,$A56)</f>
        <v>0</v>
      </c>
      <c r="D56" s="24">
        <f>20*COUNTIF(YY统计!A$2:M$150,$A56)</f>
        <v>0</v>
      </c>
      <c r="E56" s="24">
        <f>SUM(B56:D56)</f>
        <v>0</v>
      </c>
      <c r="F56" s="24">
        <f>IF(AND(E56&gt;=16,E56&lt;66),0.01,ROUNDDOWN((E56-16)/50,0))</f>
        <v>0</v>
      </c>
      <c r="G56" s="13">
        <f>IF(AND(F56&gt;=1,F56&lt;=6),E56-F56*50-16,IF(F56=0.01,E56-16,IF(F56=0,0,IF(F56&gt;6,E56-316,0))))</f>
        <v>0</v>
      </c>
    </row>
    <row r="57" spans="1:7" ht="16.5">
      <c r="A57" s="14" t="s">
        <v>523</v>
      </c>
      <c r="B57" s="4">
        <f>VLOOKUP(A57,联盟DKP榜单!A$1:C$598,3,FALSE)-40*COUNTIF(扣分!A:A,A57)</f>
        <v>0</v>
      </c>
      <c r="C57" s="24">
        <f>50*COUNTIF(帮战总榜!A$1:AB$150,$A57)+40*COUNTIF(掠夺!A$1:AB$150,$A57)</f>
        <v>0</v>
      </c>
      <c r="D57" s="24">
        <f>20*COUNTIF(YY统计!A$2:M$150,$A57)</f>
        <v>0</v>
      </c>
      <c r="E57" s="24">
        <f>SUM(B57:D57)</f>
        <v>0</v>
      </c>
      <c r="F57" s="24">
        <f>IF(AND(E57&gt;=16,E57&lt;66),0.01,ROUNDDOWN((E57-16)/50,0))</f>
        <v>0</v>
      </c>
      <c r="G57" s="13">
        <f>IF(AND(F57&gt;=1,F57&lt;=6),E57-F57*50-16,IF(F57=0.01,E57-16,IF(F57=0,0,IF(F57&gt;6,E57-316,0))))</f>
        <v>0</v>
      </c>
    </row>
    <row r="58" spans="1:7" ht="16.5">
      <c r="A58" s="14" t="s">
        <v>581</v>
      </c>
      <c r="B58" s="4">
        <f>VLOOKUP(A58,联盟DKP榜单!A$1:C$598,3,FALSE)-40*COUNTIF(扣分!A:A,A58)</f>
        <v>0</v>
      </c>
      <c r="C58" s="24">
        <f>50*COUNTIF(帮战总榜!A$1:AB$150,$A58)+40*COUNTIF(掠夺!A$1:AB$150,$A58)</f>
        <v>0</v>
      </c>
      <c r="D58" s="24">
        <f>20*COUNTIF(YY统计!A$2:M$150,$A58)</f>
        <v>0</v>
      </c>
      <c r="E58" s="24">
        <f>SUM(B58:D58)</f>
        <v>0</v>
      </c>
      <c r="F58" s="24">
        <f>IF(AND(E58&gt;=16,E58&lt;66),0.01,ROUNDDOWN((E58-16)/50,0))</f>
        <v>0</v>
      </c>
      <c r="G58" s="13">
        <f>IF(AND(F58&gt;=1,F58&lt;=6),E58-F58*50-16,IF(F58=0.01,E58-16,IF(F58=0,0,IF(F58&gt;6,E58-316,0))))</f>
        <v>0</v>
      </c>
    </row>
    <row r="59" spans="1:7" ht="16.5">
      <c r="A59" s="14" t="s">
        <v>297</v>
      </c>
      <c r="B59" s="4">
        <f>VLOOKUP(A59,联盟DKP榜单!A$1:C$598,3,FALSE)-40*COUNTIF(扣分!A:A,A59)</f>
        <v>0</v>
      </c>
      <c r="C59" s="24">
        <f>50*COUNTIF(帮战总榜!A$1:AB$150,$A59)+40*COUNTIF(掠夺!A$1:AB$150,$A59)</f>
        <v>0</v>
      </c>
      <c r="D59" s="24">
        <f>20*COUNTIF(YY统计!A$2:M$150,$A59)</f>
        <v>0</v>
      </c>
      <c r="E59" s="24">
        <f>SUM(B59:D59)</f>
        <v>0</v>
      </c>
      <c r="F59" s="24">
        <f>IF(AND(E59&gt;=16,E59&lt;66),0.01,ROUNDDOWN((E59-16)/50,0))</f>
        <v>0</v>
      </c>
      <c r="G59" s="13">
        <f>IF(AND(F59&gt;=1,F59&lt;=6),E59-F59*50-16,IF(F59=0.01,E59-16,IF(F59=0,0,IF(F59&gt;6,E59-316,0))))</f>
        <v>0</v>
      </c>
    </row>
    <row r="60" spans="1:7" ht="16.5">
      <c r="A60" s="14" t="s">
        <v>299</v>
      </c>
      <c r="B60" s="4">
        <f>VLOOKUP(A60,联盟DKP榜单!A$1:C$598,3,FALSE)-40*COUNTIF(扣分!A:A,A60)</f>
        <v>0</v>
      </c>
      <c r="C60" s="24">
        <f>50*COUNTIF(帮战总榜!A$1:AB$150,$A60)+40*COUNTIF(掠夺!A$1:AB$150,$A60)</f>
        <v>0</v>
      </c>
      <c r="D60" s="24">
        <f>20*COUNTIF(YY统计!A$2:M$150,$A60)</f>
        <v>0</v>
      </c>
      <c r="E60" s="24">
        <f>SUM(B60:D60)</f>
        <v>0</v>
      </c>
      <c r="F60" s="24">
        <f>IF(AND(E60&gt;=16,E60&lt;66),0.01,ROUNDDOWN((E60-16)/50,0))</f>
        <v>0</v>
      </c>
      <c r="G60" s="13">
        <f>IF(AND(F60&gt;=1,F60&lt;=6),E60-F60*50-16,IF(F60=0.01,E60-16,IF(F60=0,0,IF(F60&gt;6,E60-316,0))))</f>
        <v>0</v>
      </c>
    </row>
    <row r="61" spans="1:7" ht="16.5">
      <c r="A61" s="14" t="s">
        <v>429</v>
      </c>
      <c r="B61" s="4">
        <f>VLOOKUP(A61,联盟DKP榜单!A$1:C$598,3,FALSE)-40*COUNTIF(扣分!A:A,A61)</f>
        <v>0</v>
      </c>
      <c r="C61" s="24">
        <f>50*COUNTIF(帮战总榜!A$1:AB$150,$A61)+40*COUNTIF(掠夺!A$1:AB$150,$A61)</f>
        <v>0</v>
      </c>
      <c r="D61" s="24">
        <f>20*COUNTIF(YY统计!A$2:M$150,$A61)</f>
        <v>0</v>
      </c>
      <c r="E61" s="24">
        <f>SUM(B61:D61)</f>
        <v>0</v>
      </c>
      <c r="F61" s="24">
        <f>IF(AND(E61&gt;=16,E61&lt;66),0.01,ROUNDDOWN((E61-16)/50,0))</f>
        <v>0</v>
      </c>
      <c r="G61" s="13">
        <f>IF(AND(F61&gt;=1,F61&lt;=6),E61-F61*50-16,IF(F61=0.01,E61-16,IF(F61=0,0,IF(F61&gt;6,E61-316,0))))</f>
        <v>0</v>
      </c>
    </row>
    <row r="62" spans="1:7" ht="16.5">
      <c r="A62" s="14" t="s">
        <v>300</v>
      </c>
      <c r="B62" s="4">
        <f>VLOOKUP(A62,联盟DKP榜单!A$1:C$598,3,FALSE)-40*COUNTIF(扣分!A:A,A62)</f>
        <v>0</v>
      </c>
      <c r="C62" s="24">
        <f>50*COUNTIF(帮战总榜!A$1:AB$150,$A62)+40*COUNTIF(掠夺!A$1:AB$150,$A62)</f>
        <v>0</v>
      </c>
      <c r="D62" s="24">
        <f>20*COUNTIF(YY统计!A$2:M$150,$A62)</f>
        <v>0</v>
      </c>
      <c r="E62" s="24">
        <f>SUM(B62:D62)</f>
        <v>0</v>
      </c>
      <c r="F62" s="24">
        <f>IF(AND(E62&gt;=16,E62&lt;66),0.01,ROUNDDOWN((E62-16)/50,0))</f>
        <v>0</v>
      </c>
      <c r="G62" s="13">
        <f>IF(AND(F62&gt;=1,F62&lt;=6),E62-F62*50-16,IF(F62=0.01,E62-16,IF(F62=0,0,IF(F62&gt;6,E62-316,0))))</f>
        <v>0</v>
      </c>
    </row>
    <row r="63" spans="1:7" ht="16.5">
      <c r="A63" s="14" t="s">
        <v>301</v>
      </c>
      <c r="B63" s="4">
        <f>VLOOKUP(A63,联盟DKP榜单!A$1:C$598,3,FALSE)-40*COUNTIF(扣分!A:A,A63)</f>
        <v>0</v>
      </c>
      <c r="C63" s="24">
        <f>50*COUNTIF(帮战总榜!A$1:AB$150,$A63)+40*COUNTIF(掠夺!A$1:AB$150,$A63)</f>
        <v>0</v>
      </c>
      <c r="D63" s="24">
        <f>20*COUNTIF(YY统计!A$2:M$150,$A63)</f>
        <v>0</v>
      </c>
      <c r="E63" s="24">
        <f>SUM(B63:D63)</f>
        <v>0</v>
      </c>
      <c r="F63" s="24">
        <f>IF(AND(E63&gt;=16,E63&lt;66),0.01,ROUNDDOWN((E63-16)/50,0))</f>
        <v>0</v>
      </c>
      <c r="G63" s="13">
        <f>IF(AND(F63&gt;=1,F63&lt;=6),E63-F63*50-16,IF(F63=0.01,E63-16,IF(F63=0,0,IF(F63&gt;6,E63-316,0))))</f>
        <v>0</v>
      </c>
    </row>
    <row r="64" spans="1:7" ht="16.5">
      <c r="A64" s="14" t="s">
        <v>304</v>
      </c>
      <c r="B64" s="4">
        <f>VLOOKUP(A64,联盟DKP榜单!A$1:C$598,3,FALSE)-40*COUNTIF(扣分!A:A,A64)</f>
        <v>0</v>
      </c>
      <c r="C64" s="24">
        <f>50*COUNTIF(帮战总榜!A$1:AB$150,$A64)+40*COUNTIF(掠夺!A$1:AB$150,$A64)</f>
        <v>0</v>
      </c>
      <c r="D64" s="24">
        <f>20*COUNTIF(YY统计!A$2:M$150,$A64)</f>
        <v>0</v>
      </c>
      <c r="E64" s="24">
        <f>SUM(B64:D64)</f>
        <v>0</v>
      </c>
      <c r="F64" s="24">
        <f>IF(AND(E64&gt;=16,E64&lt;66),0.01,ROUNDDOWN((E64-16)/50,0))</f>
        <v>0</v>
      </c>
      <c r="G64" s="13">
        <f>IF(AND(F64&gt;=1,F64&lt;=6),E64-F64*50-16,IF(F64=0.01,E64-16,IF(F64=0,0,IF(F64&gt;6,E64-316,0))))</f>
        <v>0</v>
      </c>
    </row>
    <row r="65" spans="1:7" ht="16.5">
      <c r="A65" s="14" t="s">
        <v>305</v>
      </c>
      <c r="B65" s="4">
        <f>VLOOKUP(A65,联盟DKP榜单!A$1:C$598,3,FALSE)-40*COUNTIF(扣分!A:A,A65)</f>
        <v>0</v>
      </c>
      <c r="C65" s="24">
        <f>50*COUNTIF(帮战总榜!A$1:AB$150,$A65)+40*COUNTIF(掠夺!A$1:AB$150,$A65)</f>
        <v>0</v>
      </c>
      <c r="D65" s="24">
        <f>20*COUNTIF(YY统计!A$2:M$150,$A65)</f>
        <v>0</v>
      </c>
      <c r="E65" s="24">
        <f>SUM(B65:D65)</f>
        <v>0</v>
      </c>
      <c r="F65" s="24">
        <f>IF(AND(E65&gt;=16,E65&lt;66),0.01,ROUNDDOWN((E65-16)/50,0))</f>
        <v>0</v>
      </c>
      <c r="G65" s="13">
        <f>IF(AND(F65&gt;=1,F65&lt;=6),E65-F65*50-16,IF(F65=0.01,E65-16,IF(F65=0,0,IF(F65&gt;6,E65-316,0))))</f>
        <v>0</v>
      </c>
    </row>
    <row r="66" spans="1:7" ht="16.5">
      <c r="A66" s="14" t="s">
        <v>583</v>
      </c>
      <c r="B66" s="4">
        <f>VLOOKUP(A66,联盟DKP榜单!A$1:C$598,3,FALSE)-40*COUNTIF(扣分!A:A,A66)</f>
        <v>0</v>
      </c>
      <c r="C66" s="24">
        <f>50*COUNTIF(帮战总榜!A$1:AB$150,$A66)+40*COUNTIF(掠夺!A$1:AB$150,$A66)</f>
        <v>0</v>
      </c>
      <c r="D66" s="24">
        <f>20*COUNTIF(YY统计!A$2:M$150,$A66)</f>
        <v>0</v>
      </c>
      <c r="E66" s="24">
        <f>SUM(B66:D66)</f>
        <v>0</v>
      </c>
      <c r="F66" s="24">
        <f>IF(AND(E66&gt;=16,E66&lt;66),0.01,ROUNDDOWN((E66-16)/50,0))</f>
        <v>0</v>
      </c>
      <c r="G66" s="13">
        <f>IF(AND(F66&gt;=1,F66&lt;=6),E66-F66*50-16,IF(F66=0.01,E66-16,IF(F66=0,0,IF(F66&gt;6,E66-316,0))))</f>
        <v>0</v>
      </c>
    </row>
    <row r="67" spans="1:7" ht="16.5">
      <c r="A67" s="14" t="s">
        <v>426</v>
      </c>
      <c r="B67" s="4">
        <f>VLOOKUP(A67,联盟DKP榜单!A$1:C$598,3,FALSE)-40*COUNTIF(扣分!A:A,A67)</f>
        <v>0</v>
      </c>
      <c r="C67" s="24">
        <f>50*COUNTIF(帮战总榜!A$1:AB$150,$A67)+40*COUNTIF(掠夺!A$1:AB$150,$A67)</f>
        <v>0</v>
      </c>
      <c r="D67" s="24">
        <f>20*COUNTIF(YY统计!A$2:M$150,$A67)</f>
        <v>0</v>
      </c>
      <c r="E67" s="24">
        <f>SUM(B67:D67)</f>
        <v>0</v>
      </c>
      <c r="F67" s="24">
        <f>IF(AND(E67&gt;=16,E67&lt;66),0.01,ROUNDDOWN((E67-16)/50,0))</f>
        <v>0</v>
      </c>
      <c r="G67" s="13">
        <f>IF(AND(F67&gt;=1,F67&lt;=6),E67-F67*50-16,IF(F67=0.01,E67-16,IF(F67=0,0,IF(F67&gt;6,E67-316,0))))</f>
        <v>0</v>
      </c>
    </row>
    <row r="68" spans="1:7" ht="16.5">
      <c r="A68" s="14" t="s">
        <v>306</v>
      </c>
      <c r="B68" s="4">
        <f>VLOOKUP(A68,联盟DKP榜单!A$1:C$598,3,FALSE)-40*COUNTIF(扣分!A:A,A68)</f>
        <v>0</v>
      </c>
      <c r="C68" s="24">
        <f>50*COUNTIF(帮战总榜!A$1:AB$150,$A68)+40*COUNTIF(掠夺!A$1:AB$150,$A68)</f>
        <v>0</v>
      </c>
      <c r="D68" s="24">
        <f>20*COUNTIF(YY统计!A$2:M$150,$A68)</f>
        <v>0</v>
      </c>
      <c r="E68" s="24">
        <f>SUM(B68:D68)</f>
        <v>0</v>
      </c>
      <c r="F68" s="24">
        <f>IF(AND(E68&gt;=16,E68&lt;66),0.01,ROUNDDOWN((E68-16)/50,0))</f>
        <v>0</v>
      </c>
      <c r="G68" s="13">
        <f>IF(AND(F68&gt;=1,F68&lt;=6),E68-F68*50-16,IF(F68=0.01,E68-16,IF(F68=0,0,IF(F68&gt;6,E68-316,0))))</f>
        <v>0</v>
      </c>
    </row>
    <row r="69" spans="1:7" ht="16.5">
      <c r="A69" s="14" t="s">
        <v>531</v>
      </c>
      <c r="B69" s="4">
        <f>VLOOKUP(A69,联盟DKP榜单!A$1:C$598,3,FALSE)-40*COUNTIF(扣分!A:A,A69)</f>
        <v>0</v>
      </c>
      <c r="C69" s="24">
        <f>50*COUNTIF(帮战总榜!A$1:AB$150,$A69)+40*COUNTIF(掠夺!A$1:AB$150,$A69)</f>
        <v>0</v>
      </c>
      <c r="D69" s="24">
        <f>20*COUNTIF(YY统计!A$2:M$150,$A69)</f>
        <v>0</v>
      </c>
      <c r="E69" s="24">
        <f>SUM(B69:D69)</f>
        <v>0</v>
      </c>
      <c r="F69" s="24">
        <f>IF(AND(E69&gt;=16,E69&lt;66),0.01,ROUNDDOWN((E69-16)/50,0))</f>
        <v>0</v>
      </c>
      <c r="G69" s="13">
        <f>IF(AND(F69&gt;=1,F69&lt;=6),E69-F69*50-16,IF(F69=0.01,E69-16,IF(F69=0,0,IF(F69&gt;6,E69-316,0))))</f>
        <v>0</v>
      </c>
    </row>
    <row r="70" spans="1:7" ht="16.5">
      <c r="A70" s="14" t="s">
        <v>308</v>
      </c>
      <c r="B70" s="4">
        <f>VLOOKUP(A70,联盟DKP榜单!A$1:C$598,3,FALSE)-40*COUNTIF(扣分!A:A,A70)</f>
        <v>0</v>
      </c>
      <c r="C70" s="24">
        <f>50*COUNTIF(帮战总榜!A$1:AB$150,$A70)+40*COUNTIF(掠夺!A$1:AB$150,$A70)</f>
        <v>0</v>
      </c>
      <c r="D70" s="24">
        <f>20*COUNTIF(YY统计!A$2:M$150,$A70)</f>
        <v>0</v>
      </c>
      <c r="E70" s="24">
        <f>SUM(B70:D70)</f>
        <v>0</v>
      </c>
      <c r="F70" s="24">
        <f>IF(AND(E70&gt;=16,E70&lt;66),0.01,ROUNDDOWN((E70-16)/50,0))</f>
        <v>0</v>
      </c>
      <c r="G70" s="13">
        <f>IF(AND(F70&gt;=1,F70&lt;=6),E70-F70*50-16,IF(F70=0.01,E70-16,IF(F70=0,0,IF(F70&gt;6,E70-316,0))))</f>
        <v>0</v>
      </c>
    </row>
    <row r="71" spans="1:7" ht="16.5">
      <c r="A71" s="14" t="s">
        <v>309</v>
      </c>
      <c r="B71" s="4">
        <f>VLOOKUP(A71,联盟DKP榜单!A$1:C$598,3,FALSE)-40*COUNTIF(扣分!A:A,A71)</f>
        <v>0</v>
      </c>
      <c r="C71" s="24">
        <f>50*COUNTIF(帮战总榜!A$1:AB$150,$A71)+40*COUNTIF(掠夺!A$1:AB$150,$A71)</f>
        <v>0</v>
      </c>
      <c r="D71" s="24">
        <f>20*COUNTIF(YY统计!A$2:M$150,$A71)</f>
        <v>0</v>
      </c>
      <c r="E71" s="24">
        <f>SUM(B71:D71)</f>
        <v>0</v>
      </c>
      <c r="F71" s="24">
        <f>IF(AND(E71&gt;=16,E71&lt;66),0.01,ROUNDDOWN((E71-16)/50,0))</f>
        <v>0</v>
      </c>
      <c r="G71" s="13">
        <f>IF(AND(F71&gt;=1,F71&lt;=6),E71-F71*50-16,IF(F71=0.01,E71-16,IF(F71=0,0,IF(F71&gt;6,E71-316,0))))</f>
        <v>0</v>
      </c>
    </row>
    <row r="72" spans="1:7" ht="16.5">
      <c r="A72" s="14" t="s">
        <v>310</v>
      </c>
      <c r="B72" s="4">
        <f>VLOOKUP(A72,联盟DKP榜单!A$1:C$598,3,FALSE)-40*COUNTIF(扣分!A:A,A72)</f>
        <v>0</v>
      </c>
      <c r="C72" s="24">
        <f>50*COUNTIF(帮战总榜!A$1:AB$150,$A72)+40*COUNTIF(掠夺!A$1:AB$150,$A72)</f>
        <v>0</v>
      </c>
      <c r="D72" s="24">
        <f>20*COUNTIF(YY统计!A$2:M$150,$A72)</f>
        <v>0</v>
      </c>
      <c r="E72" s="24">
        <f>SUM(B72:D72)</f>
        <v>0</v>
      </c>
      <c r="F72" s="24">
        <f>IF(AND(E72&gt;=16,E72&lt;66),0.01,ROUNDDOWN((E72-16)/50,0))</f>
        <v>0</v>
      </c>
      <c r="G72" s="13">
        <f>IF(AND(F72&gt;=1,F72&lt;=6),E72-F72*50-16,IF(F72=0.01,E72-16,IF(F72=0,0,IF(F72&gt;6,E72-316,0))))</f>
        <v>0</v>
      </c>
    </row>
    <row r="73" spans="1:7" ht="16.5">
      <c r="A73" s="14" t="s">
        <v>494</v>
      </c>
      <c r="B73" s="4">
        <f>VLOOKUP(A73,联盟DKP榜单!A$1:C$598,3,FALSE)-40*COUNTIF(扣分!A:A,A73)</f>
        <v>0</v>
      </c>
      <c r="C73" s="24">
        <f>50*COUNTIF(帮战总榜!A$1:AB$150,$A73)+40*COUNTIF(掠夺!A$1:AB$150,$A73)</f>
        <v>0</v>
      </c>
      <c r="D73" s="24">
        <f>20*COUNTIF(YY统计!A$2:M$150,$A73)</f>
        <v>0</v>
      </c>
      <c r="E73" s="24">
        <f>SUM(B73:D73)</f>
        <v>0</v>
      </c>
      <c r="F73" s="24">
        <f>IF(AND(E73&gt;=16,E73&lt;66),0.01,ROUNDDOWN((E73-16)/50,0))</f>
        <v>0</v>
      </c>
      <c r="G73" s="13">
        <f>IF(AND(F73&gt;=1,F73&lt;=6),E73-F73*50-16,IF(F73=0.01,E73-16,IF(F73=0,0,IF(F73&gt;6,E73-316,0))))</f>
        <v>0</v>
      </c>
    </row>
    <row r="74" spans="1:7" ht="16.5">
      <c r="A74" s="14" t="s">
        <v>532</v>
      </c>
      <c r="B74" s="4">
        <f>VLOOKUP(A74,联盟DKP榜单!A$1:C$598,3,FALSE)-40*COUNTIF(扣分!A:A,A74)</f>
        <v>0</v>
      </c>
      <c r="C74" s="24">
        <f>50*COUNTIF(帮战总榜!A$1:AB$150,$A74)+40*COUNTIF(掠夺!A$1:AB$150,$A74)</f>
        <v>0</v>
      </c>
      <c r="D74" s="24">
        <f>20*COUNTIF(YY统计!A$2:M$150,$A74)</f>
        <v>0</v>
      </c>
      <c r="E74" s="24">
        <f>SUM(B74:D74)</f>
        <v>0</v>
      </c>
      <c r="F74" s="24">
        <f>IF(AND(E74&gt;=16,E74&lt;66),0.01,ROUNDDOWN((E74-16)/50,0))</f>
        <v>0</v>
      </c>
      <c r="G74" s="13">
        <f>IF(AND(F74&gt;=1,F74&lt;=6),E74-F74*50-16,IF(F74=0.01,E74-16,IF(F74=0,0,IF(F74&gt;6,E74-316,0))))</f>
        <v>0</v>
      </c>
    </row>
    <row r="75" spans="1:7" ht="16.5">
      <c r="A75" s="14" t="s">
        <v>311</v>
      </c>
      <c r="B75" s="4">
        <f>VLOOKUP(A75,联盟DKP榜单!A$1:C$598,3,FALSE)-40*COUNTIF(扣分!A:A,A75)</f>
        <v>0</v>
      </c>
      <c r="C75" s="24">
        <f>50*COUNTIF(帮战总榜!A$1:AB$150,$A75)+40*COUNTIF(掠夺!A$1:AB$150,$A75)</f>
        <v>0</v>
      </c>
      <c r="D75" s="24">
        <f>20*COUNTIF(YY统计!A$2:M$150,$A75)</f>
        <v>0</v>
      </c>
      <c r="E75" s="24">
        <f>SUM(B75:D75)</f>
        <v>0</v>
      </c>
      <c r="F75" s="24">
        <f>IF(AND(E75&gt;=16,E75&lt;66),0.01,ROUNDDOWN((E75-16)/50,0))</f>
        <v>0</v>
      </c>
      <c r="G75" s="13">
        <f>IF(AND(F75&gt;=1,F75&lt;=6),E75-F75*50-16,IF(F75=0.01,E75-16,IF(F75=0,0,IF(F75&gt;6,E75-316,0))))</f>
        <v>0</v>
      </c>
    </row>
    <row r="76" spans="1:7" ht="16.5">
      <c r="A76" s="14" t="s">
        <v>280</v>
      </c>
      <c r="B76" s="4">
        <f>VLOOKUP(A76,联盟DKP榜单!A$1:C$598,3,FALSE)-40*COUNTIF(扣分!A:A,A76)</f>
        <v>0</v>
      </c>
      <c r="C76" s="24">
        <f>50*COUNTIF(帮战总榜!A$1:AB$150,$A76)+40*COUNTIF(掠夺!A$1:AB$150,$A76)</f>
        <v>0</v>
      </c>
      <c r="D76" s="24">
        <f>20*COUNTIF(YY统计!A$2:M$150,$A76)</f>
        <v>0</v>
      </c>
      <c r="E76" s="24">
        <f>SUM(B76:D76)</f>
        <v>0</v>
      </c>
      <c r="F76" s="24">
        <f>IF(AND(E76&gt;=16,E76&lt;66),0.01,ROUNDDOWN((E76-16)/50,0))</f>
        <v>0</v>
      </c>
      <c r="G76" s="13">
        <f>IF(AND(F76&gt;=1,F76&lt;=6),E76-F76*50-16,IF(F76=0.01,E76-16,IF(F76=0,0,IF(F76&gt;6,E76-316,0))))</f>
        <v>0</v>
      </c>
    </row>
    <row r="77" spans="1:7" ht="16.5">
      <c r="A77" s="14" t="s">
        <v>497</v>
      </c>
      <c r="B77" s="4">
        <f>VLOOKUP(A77,联盟DKP榜单!A$1:C$598,3,FALSE)-40*COUNTIF(扣分!A:A,A77)</f>
        <v>0</v>
      </c>
      <c r="C77" s="24">
        <f>50*COUNTIF(帮战总榜!A$1:AB$150,$A77)+40*COUNTIF(掠夺!A$1:AB$150,$A77)</f>
        <v>0</v>
      </c>
      <c r="D77" s="24">
        <f>20*COUNTIF(YY统计!A$2:M$150,$A77)</f>
        <v>0</v>
      </c>
      <c r="E77" s="24">
        <f>SUM(B77:D77)</f>
        <v>0</v>
      </c>
      <c r="F77" s="24">
        <f>IF(AND(E77&gt;=16,E77&lt;66),0.01,ROUNDDOWN((E77-16)/50,0))</f>
        <v>0</v>
      </c>
      <c r="G77" s="13">
        <f>IF(AND(F77&gt;=1,F77&lt;=6),E77-F77*50-16,IF(F77=0.01,E77-16,IF(F77=0,0,IF(F77&gt;6,E77-316,0))))</f>
        <v>0</v>
      </c>
    </row>
    <row r="78" spans="1:7" ht="16.5">
      <c r="A78" s="14" t="s">
        <v>586</v>
      </c>
      <c r="B78" s="4">
        <f>VLOOKUP(A78,联盟DKP榜单!A$1:C$598,3,FALSE)-40*COUNTIF(扣分!A:A,A78)</f>
        <v>0</v>
      </c>
      <c r="C78" s="24">
        <f>50*COUNTIF(帮战总榜!A$1:AB$150,$A78)+40*COUNTIF(掠夺!A$1:AB$150,$A78)</f>
        <v>0</v>
      </c>
      <c r="D78" s="24">
        <f>20*COUNTIF(YY统计!A$2:M$150,$A78)</f>
        <v>0</v>
      </c>
      <c r="E78" s="24">
        <f>SUM(B78:D78)</f>
        <v>0</v>
      </c>
      <c r="F78" s="24">
        <f>IF(AND(E78&gt;=16,E78&lt;66),0.01,ROUNDDOWN((E78-16)/50,0))</f>
        <v>0</v>
      </c>
      <c r="G78" s="13">
        <f>IF(AND(F78&gt;=1,F78&lt;=6),E78-F78*50-16,IF(F78=0.01,E78-16,IF(F78=0,0,IF(F78&gt;6,E78-316,0))))</f>
        <v>0</v>
      </c>
    </row>
    <row r="79" spans="1:7" ht="16.5">
      <c r="A79" s="14" t="s">
        <v>282</v>
      </c>
      <c r="B79" s="4">
        <f>VLOOKUP(A79,联盟DKP榜单!A$1:C$598,3,FALSE)-40*COUNTIF(扣分!A:A,A79)</f>
        <v>0</v>
      </c>
      <c r="C79" s="24">
        <f>50*COUNTIF(帮战总榜!A$1:AB$150,$A79)+40*COUNTIF(掠夺!A$1:AB$150,$A79)</f>
        <v>0</v>
      </c>
      <c r="D79" s="24">
        <f>20*COUNTIF(YY统计!A$2:M$150,$A79)</f>
        <v>0</v>
      </c>
      <c r="E79" s="24">
        <f>SUM(B79:D79)</f>
        <v>0</v>
      </c>
      <c r="F79" s="24">
        <f>IF(AND(E79&gt;=16,E79&lt;66),0.01,ROUNDDOWN((E79-16)/50,0))</f>
        <v>0</v>
      </c>
      <c r="G79" s="13">
        <f>IF(AND(F79&gt;=1,F79&lt;=6),E79-F79*50-16,IF(F79=0.01,E79-16,IF(F79=0,0,IF(F79&gt;6,E79-316,0))))</f>
        <v>0</v>
      </c>
    </row>
    <row r="80" spans="1:7" ht="16.5">
      <c r="A80" s="14" t="s">
        <v>283</v>
      </c>
      <c r="B80" s="4">
        <f>VLOOKUP(A80,联盟DKP榜单!A$1:C$598,3,FALSE)-40*COUNTIF(扣分!A:A,A80)</f>
        <v>0</v>
      </c>
      <c r="C80" s="24">
        <f>50*COUNTIF(帮战总榜!A$1:AB$150,$A80)+40*COUNTIF(掠夺!A$1:AB$150,$A80)</f>
        <v>0</v>
      </c>
      <c r="D80" s="24">
        <f>20*COUNTIF(YY统计!A$2:M$150,$A80)</f>
        <v>0</v>
      </c>
      <c r="E80" s="24">
        <f>SUM(B80:D80)</f>
        <v>0</v>
      </c>
      <c r="F80" s="24">
        <f>IF(AND(E80&gt;=16,E80&lt;66),0.01,ROUNDDOWN((E80-16)/50,0))</f>
        <v>0</v>
      </c>
      <c r="G80" s="13">
        <f>IF(AND(F80&gt;=1,F80&lt;=6),E80-F80*50-16,IF(F80=0.01,E80-16,IF(F80=0,0,IF(F80&gt;6,E80-316,0))))</f>
        <v>0</v>
      </c>
    </row>
    <row r="81" spans="1:7" ht="16.5">
      <c r="A81" s="14" t="s">
        <v>284</v>
      </c>
      <c r="B81" s="4">
        <f>VLOOKUP(A81,联盟DKP榜单!A$1:C$598,3,FALSE)-40*COUNTIF(扣分!A:A,A81)</f>
        <v>0</v>
      </c>
      <c r="C81" s="24">
        <f>50*COUNTIF(帮战总榜!A$1:AB$150,$A81)+40*COUNTIF(掠夺!A$1:AB$150,$A81)</f>
        <v>0</v>
      </c>
      <c r="D81" s="24">
        <f>20*COUNTIF(YY统计!A$2:M$150,$A81)</f>
        <v>0</v>
      </c>
      <c r="E81" s="24">
        <f>SUM(B81:D81)</f>
        <v>0</v>
      </c>
      <c r="F81" s="24">
        <f>IF(AND(E81&gt;=16,E81&lt;66),0.01,ROUNDDOWN((E81-16)/50,0))</f>
        <v>0</v>
      </c>
      <c r="G81" s="13">
        <f>IF(AND(F81&gt;=1,F81&lt;=6),E81-F81*50-16,IF(F81=0.01,E81-16,IF(F81=0,0,IF(F81&gt;6,E81-316,0))))</f>
        <v>0</v>
      </c>
    </row>
    <row r="82" spans="1:7" ht="16.5">
      <c r="A82" s="14" t="s">
        <v>285</v>
      </c>
      <c r="B82" s="4">
        <f>VLOOKUP(A82,联盟DKP榜单!A$1:C$598,3,FALSE)-40*COUNTIF(扣分!A:A,A82)</f>
        <v>0</v>
      </c>
      <c r="C82" s="24">
        <f>50*COUNTIF(帮战总榜!A$1:AB$150,$A82)+40*COUNTIF(掠夺!A$1:AB$150,$A82)</f>
        <v>0</v>
      </c>
      <c r="D82" s="24">
        <f>20*COUNTIF(YY统计!A$2:M$150,$A82)</f>
        <v>0</v>
      </c>
      <c r="E82" s="24">
        <f>SUM(B82:D82)</f>
        <v>0</v>
      </c>
      <c r="F82" s="24">
        <f>IF(AND(E82&gt;=16,E82&lt;66),0.01,ROUNDDOWN((E82-16)/50,0))</f>
        <v>0</v>
      </c>
      <c r="G82" s="13">
        <f>IF(AND(F82&gt;=1,F82&lt;=6),E82-F82*50-16,IF(F82=0.01,E82-16,IF(F82=0,0,IF(F82&gt;6,E82-316,0))))</f>
        <v>0</v>
      </c>
    </row>
    <row r="83" spans="1:7" ht="16.5">
      <c r="A83" s="14" t="s">
        <v>498</v>
      </c>
      <c r="B83" s="4">
        <f>VLOOKUP(A83,联盟DKP榜单!A$1:C$598,3,FALSE)-40*COUNTIF(扣分!A:A,A83)</f>
        <v>0</v>
      </c>
      <c r="C83" s="24">
        <f>50*COUNTIF(帮战总榜!A$1:AB$150,$A83)+40*COUNTIF(掠夺!A$1:AB$150,$A83)</f>
        <v>0</v>
      </c>
      <c r="D83" s="24">
        <f>20*COUNTIF(YY统计!A$2:M$150,$A83)</f>
        <v>0</v>
      </c>
      <c r="E83" s="24">
        <f>SUM(B83:D83)</f>
        <v>0</v>
      </c>
      <c r="F83" s="24">
        <f>IF(AND(E83&gt;=16,E83&lt;66),0.01,ROUNDDOWN((E83-16)/50,0))</f>
        <v>0</v>
      </c>
      <c r="G83" s="13">
        <f>IF(AND(F83&gt;=1,F83&lt;=6),E83-F83*50-16,IF(F83=0.01,E83-16,IF(F83=0,0,IF(F83&gt;6,E83-316,0))))</f>
        <v>0</v>
      </c>
    </row>
    <row r="84" spans="1:7" ht="16.5">
      <c r="A84" s="14" t="s">
        <v>286</v>
      </c>
      <c r="B84" s="4">
        <f>VLOOKUP(A84,联盟DKP榜单!A$1:C$598,3,FALSE)-40*COUNTIF(扣分!A:A,A84)</f>
        <v>0</v>
      </c>
      <c r="C84" s="24">
        <f>50*COUNTIF(帮战总榜!A$1:AB$150,$A84)+40*COUNTIF(掠夺!A$1:AB$150,$A84)</f>
        <v>0</v>
      </c>
      <c r="D84" s="24">
        <f>20*COUNTIF(YY统计!A$2:M$150,$A84)</f>
        <v>0</v>
      </c>
      <c r="E84" s="24">
        <f>SUM(B84:D84)</f>
        <v>0</v>
      </c>
      <c r="F84" s="24">
        <f>IF(AND(E84&gt;=16,E84&lt;66),0.01,ROUNDDOWN((E84-16)/50,0))</f>
        <v>0</v>
      </c>
      <c r="G84" s="13">
        <f>IF(AND(F84&gt;=1,F84&lt;=6),E84-F84*50-16,IF(F84=0.01,E84-16,IF(F84=0,0,IF(F84&gt;6,E84-316,0))))</f>
        <v>0</v>
      </c>
    </row>
    <row r="85" spans="1:7" ht="16.5">
      <c r="A85" s="14" t="s">
        <v>287</v>
      </c>
      <c r="B85" s="4">
        <f>VLOOKUP(A85,联盟DKP榜单!A$1:C$598,3,FALSE)-40*COUNTIF(扣分!A:A,A85)</f>
        <v>0</v>
      </c>
      <c r="C85" s="24">
        <f>50*COUNTIF(帮战总榜!A$1:AB$150,$A85)+40*COUNTIF(掠夺!A$1:AB$150,$A85)</f>
        <v>0</v>
      </c>
      <c r="D85" s="24">
        <f>20*COUNTIF(YY统计!A$2:M$150,$A85)</f>
        <v>0</v>
      </c>
      <c r="E85" s="24">
        <f>SUM(B85:D85)</f>
        <v>0</v>
      </c>
      <c r="F85" s="24">
        <f>IF(AND(E85&gt;=16,E85&lt;66),0.01,ROUNDDOWN((E85-16)/50,0))</f>
        <v>0</v>
      </c>
      <c r="G85" s="13">
        <f>IF(AND(F85&gt;=1,F85&lt;=6),E85-F85*50-16,IF(F85=0.01,E85-16,IF(F85=0,0,IF(F85&gt;6,E85-316,0))))</f>
        <v>0</v>
      </c>
    </row>
    <row r="86" spans="1:7" ht="16.5">
      <c r="A86" s="14" t="s">
        <v>533</v>
      </c>
      <c r="B86" s="4">
        <f>VLOOKUP(A86,联盟DKP榜单!A$1:C$598,3,FALSE)-40*COUNTIF(扣分!A:A,A86)</f>
        <v>0</v>
      </c>
      <c r="C86" s="24">
        <f>50*COUNTIF(帮战总榜!A$1:AB$150,$A86)+40*COUNTIF(掠夺!A$1:AB$150,$A86)</f>
        <v>0</v>
      </c>
      <c r="D86" s="24">
        <f>20*COUNTIF(YY统计!A$2:M$150,$A86)</f>
        <v>0</v>
      </c>
      <c r="E86" s="24">
        <f>SUM(B86:D86)</f>
        <v>0</v>
      </c>
      <c r="F86" s="24">
        <f>IF(AND(E86&gt;=16,E86&lt;66),0.01,ROUNDDOWN((E86-16)/50,0))</f>
        <v>0</v>
      </c>
      <c r="G86" s="13">
        <f>IF(AND(F86&gt;=1,F86&lt;=6),E86-F86*50-16,IF(F86=0.01,E86-16,IF(F86=0,0,IF(F86&gt;6,E86-316,0))))</f>
        <v>0</v>
      </c>
    </row>
    <row r="87" spans="1:7" ht="16.5">
      <c r="A87" s="14" t="s">
        <v>288</v>
      </c>
      <c r="B87" s="4">
        <f>VLOOKUP(A87,联盟DKP榜单!A$1:C$598,3,FALSE)-40*COUNTIF(扣分!A:A,A87)</f>
        <v>0</v>
      </c>
      <c r="C87" s="24">
        <f>50*COUNTIF(帮战总榜!A$1:AB$150,$A87)+40*COUNTIF(掠夺!A$1:AB$150,$A87)</f>
        <v>0</v>
      </c>
      <c r="D87" s="24">
        <f>20*COUNTIF(YY统计!A$2:M$150,$A87)</f>
        <v>0</v>
      </c>
      <c r="E87" s="24">
        <f>SUM(B87:D87)</f>
        <v>0</v>
      </c>
      <c r="F87" s="24">
        <f>IF(AND(E87&gt;=16,E87&lt;66),0.01,ROUNDDOWN((E87-16)/50,0))</f>
        <v>0</v>
      </c>
      <c r="G87" s="13">
        <f>IF(AND(F87&gt;=1,F87&lt;=6),E87-F87*50-16,IF(F87=0.01,E87-16,IF(F87=0,0,IF(F87&gt;6,E87-316,0))))</f>
        <v>0</v>
      </c>
    </row>
    <row r="88" spans="1:7" ht="16.5">
      <c r="A88" s="14" t="s">
        <v>526</v>
      </c>
      <c r="B88" s="4">
        <f>VLOOKUP(A88,联盟DKP榜单!A$1:C$598,3,FALSE)-40*COUNTIF(扣分!A:A,A88)</f>
        <v>0</v>
      </c>
      <c r="C88" s="24">
        <f>50*COUNTIF(帮战总榜!A$1:AB$150,$A88)+40*COUNTIF(掠夺!A$1:AB$150,$A88)</f>
        <v>0</v>
      </c>
      <c r="D88" s="24">
        <f>20*COUNTIF(YY统计!A$2:M$150,$A88)</f>
        <v>0</v>
      </c>
      <c r="E88" s="24">
        <f>SUM(B88:D88)</f>
        <v>0</v>
      </c>
      <c r="F88" s="24">
        <f>IF(AND(E88&gt;=16,E88&lt;66),0.01,ROUNDDOWN((E88-16)/50,0))</f>
        <v>0</v>
      </c>
      <c r="G88" s="13">
        <f>IF(AND(F88&gt;=1,F88&lt;=6),E88-F88*50-16,IF(F88=0.01,E88-16,IF(F88=0,0,IF(F88&gt;6,E88-316,0))))</f>
        <v>0</v>
      </c>
    </row>
    <row r="89" spans="1:7" ht="16.5">
      <c r="A89" s="14" t="s">
        <v>327</v>
      </c>
      <c r="B89" s="4">
        <f>VLOOKUP(A89,联盟DKP榜单!A$1:C$598,3,FALSE)-40*COUNTIF(扣分!A:A,A89)</f>
        <v>0</v>
      </c>
      <c r="C89" s="24">
        <f>50*COUNTIF(帮战总榜!A$1:AB$150,$A89)+40*COUNTIF(掠夺!A$1:AB$150,$A89)</f>
        <v>0</v>
      </c>
      <c r="D89" s="24">
        <f>20*COUNTIF(YY统计!A$2:M$150,$A89)</f>
        <v>0</v>
      </c>
      <c r="E89" s="24">
        <f>SUM(B89:D89)</f>
        <v>0</v>
      </c>
      <c r="F89" s="24">
        <f>IF(AND(E89&gt;=16,E89&lt;66),0.01,ROUNDDOWN((E89-16)/50,0))</f>
        <v>0</v>
      </c>
      <c r="G89" s="13">
        <f>IF(AND(F89&gt;=1,F89&lt;=6),E89-F89*50-16,IF(F89=0.01,E89-16,IF(F89=0,0,IF(F89&gt;6,E89-316,0))))</f>
        <v>0</v>
      </c>
    </row>
    <row r="90" spans="1:7" ht="16.5">
      <c r="A90" s="14" t="s">
        <v>274</v>
      </c>
      <c r="B90" s="4">
        <f>VLOOKUP(A90,联盟DKP榜单!A$1:C$598,3,FALSE)-40*COUNTIF(扣分!A:A,A90)</f>
        <v>0</v>
      </c>
      <c r="C90" s="24">
        <f>50*COUNTIF(帮战总榜!A$1:AB$150,$A90)+40*COUNTIF(掠夺!A$1:AB$150,$A90)</f>
        <v>0</v>
      </c>
      <c r="D90" s="24">
        <f>20*COUNTIF(YY统计!A$2:M$150,$A90)</f>
        <v>0</v>
      </c>
      <c r="E90" s="24">
        <f>SUM(B90:D90)</f>
        <v>0</v>
      </c>
      <c r="F90" s="24">
        <f>IF(AND(E90&gt;=16,E90&lt;66),0.01,ROUNDDOWN((E90-16)/50,0))</f>
        <v>0</v>
      </c>
      <c r="G90" s="13">
        <f>IF(AND(F90&gt;=1,F90&lt;=6),E90-F90*50-16,IF(F90=0.01,E90-16,IF(F90=0,0,IF(F90&gt;6,E90-316,0))))</f>
        <v>0</v>
      </c>
    </row>
    <row r="91" spans="1:7" ht="16.5">
      <c r="A91" s="14" t="s">
        <v>328</v>
      </c>
      <c r="B91" s="4">
        <f>VLOOKUP(A91,联盟DKP榜单!A$1:C$598,3,FALSE)-40*COUNTIF(扣分!A:A,A91)</f>
        <v>0</v>
      </c>
      <c r="C91" s="24">
        <f>50*COUNTIF(帮战总榜!A$1:AB$150,$A91)+40*COUNTIF(掠夺!A$1:AB$150,$A91)</f>
        <v>0</v>
      </c>
      <c r="D91" s="24">
        <f>20*COUNTIF(YY统计!A$2:M$150,$A91)</f>
        <v>0</v>
      </c>
      <c r="E91" s="24">
        <f>SUM(B91:D91)</f>
        <v>0</v>
      </c>
      <c r="F91" s="24">
        <f>IF(AND(E91&gt;=16,E91&lt;66),0.01,ROUNDDOWN((E91-16)/50,0))</f>
        <v>0</v>
      </c>
      <c r="G91" s="13">
        <f>IF(AND(F91&gt;=1,F91&lt;=6),E91-F91*50-16,IF(F91=0.01,E91-16,IF(F91=0,0,IF(F91&gt;6,E91-316,0))))</f>
        <v>0</v>
      </c>
    </row>
    <row r="92" spans="1:7" ht="16.5">
      <c r="A92" s="14" t="s">
        <v>330</v>
      </c>
      <c r="B92" s="4">
        <f>VLOOKUP(A92,联盟DKP榜单!A$1:C$598,3,FALSE)-40*COUNTIF(扣分!A:A,A92)</f>
        <v>0</v>
      </c>
      <c r="C92" s="24">
        <f>50*COUNTIF(帮战总榜!A$1:AB$150,$A92)+40*COUNTIF(掠夺!A$1:AB$150,$A92)</f>
        <v>0</v>
      </c>
      <c r="D92" s="24">
        <f>20*COUNTIF(YY统计!A$2:M$150,$A92)</f>
        <v>0</v>
      </c>
      <c r="E92" s="24">
        <f>SUM(B92:D92)</f>
        <v>0</v>
      </c>
      <c r="F92" s="24">
        <f>IF(AND(E92&gt;=16,E92&lt;66),0.01,ROUNDDOWN((E92-16)/50,0))</f>
        <v>0</v>
      </c>
      <c r="G92" s="13">
        <f>IF(AND(F92&gt;=1,F92&lt;=6),E92-F92*50-16,IF(F92=0.01,E92-16,IF(F92=0,0,IF(F92&gt;6,E92-316,0))))</f>
        <v>0</v>
      </c>
    </row>
    <row r="93" spans="1:7" ht="16.5">
      <c r="A93" s="14" t="s">
        <v>331</v>
      </c>
      <c r="B93" s="4">
        <f>VLOOKUP(A93,联盟DKP榜单!A$1:C$598,3,FALSE)-40*COUNTIF(扣分!A:A,A93)</f>
        <v>0</v>
      </c>
      <c r="C93" s="24">
        <f>50*COUNTIF(帮战总榜!A$1:AB$150,$A93)+40*COUNTIF(掠夺!A$1:AB$150,$A93)</f>
        <v>0</v>
      </c>
      <c r="D93" s="24">
        <f>20*COUNTIF(YY统计!A$2:M$150,$A93)</f>
        <v>0</v>
      </c>
      <c r="E93" s="24">
        <f>SUM(B93:D93)</f>
        <v>0</v>
      </c>
      <c r="F93" s="24">
        <f>IF(AND(E93&gt;=16,E93&lt;66),0.01,ROUNDDOWN((E93-16)/50,0))</f>
        <v>0</v>
      </c>
      <c r="G93" s="13">
        <f>IF(AND(F93&gt;=1,F93&lt;=6),E93-F93*50-16,IF(F93=0.01,E93-16,IF(F93=0,0,IF(F93&gt;6,E93-316,0))))</f>
        <v>0</v>
      </c>
    </row>
    <row r="94" spans="1:7" ht="16.5">
      <c r="A94" s="14" t="s">
        <v>608</v>
      </c>
      <c r="B94" s="4">
        <f>VLOOKUP(A94,联盟DKP榜单!A$1:C$598,3,FALSE)-40*COUNTIF(扣分!A:A,A94)</f>
        <v>0</v>
      </c>
      <c r="C94" s="24">
        <f>50*COUNTIF(帮战总榜!A$1:AB$150,$A94)+40*COUNTIF(掠夺!A$1:AB$150,$A94)</f>
        <v>0</v>
      </c>
      <c r="D94" s="24">
        <f>20*COUNTIF(YY统计!A$2:M$150,$A94)</f>
        <v>0</v>
      </c>
      <c r="E94" s="24">
        <f>SUM(B94:D94)</f>
        <v>0</v>
      </c>
      <c r="F94" s="24">
        <f>IF(AND(E94&gt;=16,E94&lt;66),0.01,ROUNDDOWN((E94-16)/50,0))</f>
        <v>0</v>
      </c>
      <c r="G94" s="13">
        <f>IF(AND(F94&gt;=1,F94&lt;=6),E94-F94*50-16,IF(F94=0.01,E94-16,IF(F94=0,0,IF(F94&gt;6,E94-316,0))))</f>
        <v>0</v>
      </c>
    </row>
    <row r="95" spans="1:7" ht="16.5">
      <c r="A95" s="14" t="s">
        <v>332</v>
      </c>
      <c r="B95" s="4">
        <f>VLOOKUP(A95,联盟DKP榜单!A$1:C$598,3,FALSE)-40*COUNTIF(扣分!A:A,A95)</f>
        <v>0</v>
      </c>
      <c r="C95" s="24">
        <f>50*COUNTIF(帮战总榜!A$1:AB$150,$A95)+40*COUNTIF(掠夺!A$1:AB$150,$A95)</f>
        <v>0</v>
      </c>
      <c r="D95" s="24">
        <f>20*COUNTIF(YY统计!A$2:M$150,$A95)</f>
        <v>0</v>
      </c>
      <c r="E95" s="24">
        <f>SUM(B95:D95)</f>
        <v>0</v>
      </c>
      <c r="F95" s="24">
        <f>IF(AND(E95&gt;=16,E95&lt;66),0.01,ROUNDDOWN((E95-16)/50,0))</f>
        <v>0</v>
      </c>
      <c r="G95" s="13">
        <f>IF(AND(F95&gt;=1,F95&lt;=6),E95-F95*50-16,IF(F95=0.01,E95-16,IF(F95=0,0,IF(F95&gt;6,E95-316,0))))</f>
        <v>0</v>
      </c>
    </row>
    <row r="96" spans="1:7" ht="16.5">
      <c r="A96" s="14" t="s">
        <v>333</v>
      </c>
      <c r="B96" s="4">
        <f>VLOOKUP(A96,联盟DKP榜单!A$1:C$598,3,FALSE)-40*COUNTIF(扣分!A:A,A96)</f>
        <v>0</v>
      </c>
      <c r="C96" s="24">
        <f>50*COUNTIF(帮战总榜!A$1:AB$150,$A96)+40*COUNTIF(掠夺!A$1:AB$150,$A96)</f>
        <v>0</v>
      </c>
      <c r="D96" s="24">
        <f>20*COUNTIF(YY统计!A$2:M$150,$A96)</f>
        <v>0</v>
      </c>
      <c r="E96" s="24">
        <f>SUM(B96:D96)</f>
        <v>0</v>
      </c>
      <c r="F96" s="24">
        <f>IF(AND(E96&gt;=16,E96&lt;66),0.01,ROUNDDOWN((E96-16)/50,0))</f>
        <v>0</v>
      </c>
      <c r="G96" s="13">
        <f>IF(AND(F96&gt;=1,F96&lt;=6),E96-F96*50-16,IF(F96=0.01,E96-16,IF(F96=0,0,IF(F96&gt;6,E96-316,0))))</f>
        <v>0</v>
      </c>
    </row>
    <row r="97" spans="1:7" ht="16.5">
      <c r="A97" s="14" t="s">
        <v>334</v>
      </c>
      <c r="B97" s="4">
        <f>VLOOKUP(A97,联盟DKP榜单!A$1:C$598,3,FALSE)-40*COUNTIF(扣分!A:A,A97)</f>
        <v>0</v>
      </c>
      <c r="C97" s="24">
        <f>50*COUNTIF(帮战总榜!A$1:AB$150,$A97)+40*COUNTIF(掠夺!A$1:AB$150,$A97)</f>
        <v>0</v>
      </c>
      <c r="D97" s="24">
        <f>20*COUNTIF(YY统计!A$2:M$150,$A97)</f>
        <v>0</v>
      </c>
      <c r="E97" s="24">
        <f>SUM(B97:D97)</f>
        <v>0</v>
      </c>
      <c r="F97" s="24">
        <f>IF(AND(E97&gt;=16,E97&lt;66),0.01,ROUNDDOWN((E97-16)/50,0))</f>
        <v>0</v>
      </c>
      <c r="G97" s="13">
        <f>IF(AND(F97&gt;=1,F97&lt;=6),E97-F97*50-16,IF(F97=0.01,E97-16,IF(F97=0,0,IF(F97&gt;6,E97-316,0))))</f>
        <v>0</v>
      </c>
    </row>
    <row r="98" spans="1:7" ht="16.5">
      <c r="A98" s="14" t="s">
        <v>609</v>
      </c>
      <c r="B98" s="4">
        <f>VLOOKUP(A98,联盟DKP榜单!A$1:C$598,3,FALSE)-40*COUNTIF(扣分!A:A,A98)</f>
        <v>0</v>
      </c>
      <c r="C98" s="24">
        <f>50*COUNTIF(帮战总榜!A$1:AB$150,$A98)+40*COUNTIF(掠夺!A$1:AB$150,$A98)</f>
        <v>0</v>
      </c>
      <c r="D98" s="24">
        <f>20*COUNTIF(YY统计!A$2:M$150,$A98)</f>
        <v>0</v>
      </c>
      <c r="E98" s="24">
        <f>SUM(B98:D98)</f>
        <v>0</v>
      </c>
      <c r="F98" s="24">
        <f>IF(AND(E98&gt;=16,E98&lt;66),0.01,ROUNDDOWN((E98-16)/50,0))</f>
        <v>0</v>
      </c>
      <c r="G98" s="13">
        <f>IF(AND(F98&gt;=1,F98&lt;=6),E98-F98*50-16,IF(F98=0.01,E98-16,IF(F98=0,0,IF(F98&gt;6,E98-316,0))))</f>
        <v>0</v>
      </c>
    </row>
    <row r="99" spans="1:7" ht="16.5">
      <c r="A99" s="14" t="s">
        <v>336</v>
      </c>
      <c r="B99" s="4">
        <f>VLOOKUP(A99,联盟DKP榜单!A$1:C$598,3,FALSE)-40*COUNTIF(扣分!A:A,A99)</f>
        <v>0</v>
      </c>
      <c r="C99" s="24">
        <f>50*COUNTIF(帮战总榜!A$1:AB$150,$A99)+40*COUNTIF(掠夺!A$1:AB$150,$A99)</f>
        <v>0</v>
      </c>
      <c r="D99" s="24">
        <f>20*COUNTIF(YY统计!A$2:M$150,$A99)</f>
        <v>0</v>
      </c>
      <c r="E99" s="24">
        <f>SUM(B99:D99)</f>
        <v>0</v>
      </c>
      <c r="F99" s="24">
        <f>IF(AND(E99&gt;=16,E99&lt;66),0.01,ROUNDDOWN((E99-16)/50,0))</f>
        <v>0</v>
      </c>
      <c r="G99" s="13">
        <f>IF(AND(F99&gt;=1,F99&lt;=6),E99-F99*50-16,IF(F99=0.01,E99-16,IF(F99=0,0,IF(F99&gt;6,E99-316,0))))</f>
        <v>0</v>
      </c>
    </row>
    <row r="100" spans="1:7" ht="16.5">
      <c r="A100" s="14" t="s">
        <v>437</v>
      </c>
      <c r="B100" s="4">
        <f>VLOOKUP(A100,联盟DKP榜单!A$1:C$598,3,FALSE)-40*COUNTIF(扣分!A:A,A100)</f>
        <v>0</v>
      </c>
      <c r="C100" s="24">
        <f>50*COUNTIF(帮战总榜!A$1:AB$150,$A100)+40*COUNTIF(掠夺!A$1:AB$150,$A100)</f>
        <v>0</v>
      </c>
      <c r="D100" s="24">
        <f>20*COUNTIF(YY统计!A$2:M$150,$A100)</f>
        <v>0</v>
      </c>
      <c r="E100" s="24">
        <f>SUM(B100:D100)</f>
        <v>0</v>
      </c>
      <c r="F100" s="24">
        <f>IF(AND(E100&gt;=16,E100&lt;66),0.01,ROUNDDOWN((E100-16)/50,0))</f>
        <v>0</v>
      </c>
      <c r="G100" s="13">
        <f>IF(AND(F100&gt;=1,F100&lt;=6),E100-F100*50-16,IF(F100=0.01,E100-16,IF(F100=0,0,IF(F100&gt;6,E100-316,0))))</f>
        <v>0</v>
      </c>
    </row>
    <row r="101" spans="1:7" ht="16.5">
      <c r="A101" s="14" t="s">
        <v>482</v>
      </c>
      <c r="B101" s="4">
        <f>VLOOKUP(A101,联盟DKP榜单!A$1:C$598,3,FALSE)-40*COUNTIF(扣分!A:A,A101)</f>
        <v>0</v>
      </c>
      <c r="C101" s="24">
        <f>50*COUNTIF(帮战总榜!A$1:AB$150,$A101)+40*COUNTIF(掠夺!A$1:AB$150,$A101)</f>
        <v>0</v>
      </c>
      <c r="D101" s="24">
        <f>20*COUNTIF(YY统计!A$2:M$150,$A101)</f>
        <v>0</v>
      </c>
      <c r="E101" s="24">
        <f>SUM(B101:D101)</f>
        <v>0</v>
      </c>
      <c r="F101" s="24">
        <f>IF(AND(E101&gt;=16,E101&lt;66),0.01,ROUNDDOWN((E101-16)/50,0))</f>
        <v>0</v>
      </c>
      <c r="G101" s="13">
        <f>IF(AND(F101&gt;=1,F101&lt;=6),E101-F101*50-16,IF(F101=0.01,E101-16,IF(F101=0,0,IF(F101&gt;6,E101-316,0))))</f>
        <v>0</v>
      </c>
    </row>
    <row r="102" spans="1:7" ht="16.5">
      <c r="A102" s="14" t="s">
        <v>529</v>
      </c>
      <c r="B102" s="4">
        <f>VLOOKUP(A102,联盟DKP榜单!A$1:C$598,3,FALSE)-40*COUNTIF(扣分!A:A,A102)</f>
        <v>0</v>
      </c>
      <c r="C102" s="24">
        <f>50*COUNTIF(帮战总榜!A$1:AB$150,$A102)+40*COUNTIF(掠夺!A$1:AB$150,$A102)</f>
        <v>0</v>
      </c>
      <c r="D102" s="24">
        <f>20*COUNTIF(YY统计!A$2:M$150,$A102)</f>
        <v>0</v>
      </c>
      <c r="E102" s="24">
        <f>SUM(B102:D102)</f>
        <v>0</v>
      </c>
      <c r="F102" s="24">
        <f>IF(AND(E102&gt;=16,E102&lt;66),0.01,ROUNDDOWN((E102-16)/50,0))</f>
        <v>0</v>
      </c>
      <c r="G102" s="13">
        <f>IF(AND(F102&gt;=1,F102&lt;=6),E102-F102*50-16,IF(F102=0.01,E102-16,IF(F102=0,0,IF(F102&gt;6,E102-316,0))))</f>
        <v>0</v>
      </c>
    </row>
    <row r="103" spans="1:7" ht="16.5">
      <c r="A103" s="14" t="s">
        <v>289</v>
      </c>
      <c r="B103" s="4">
        <f>VLOOKUP(A103,联盟DKP榜单!A$1:C$598,3,FALSE)-40*COUNTIF(扣分!A:A,A103)</f>
        <v>0</v>
      </c>
      <c r="C103" s="24">
        <f>50*COUNTIF(帮战总榜!A$1:AB$150,$A103)+40*COUNTIF(掠夺!A$1:AB$150,$A103)</f>
        <v>0</v>
      </c>
      <c r="D103" s="24">
        <f>20*COUNTIF(YY统计!A$2:M$150,$A103)</f>
        <v>0</v>
      </c>
      <c r="E103" s="24">
        <f>SUM(B103:D103)</f>
        <v>0</v>
      </c>
      <c r="F103" s="24">
        <f>IF(AND(E103&gt;=16,E103&lt;66),0.01,ROUNDDOWN((E103-16)/50,0))</f>
        <v>0</v>
      </c>
      <c r="G103" s="13">
        <f>IF(AND(F103&gt;=1,F103&lt;=6),E103-F103*50-16,IF(F103=0.01,E103-16,IF(F103=0,0,IF(F103&gt;6,E103-316,0))))</f>
        <v>0</v>
      </c>
    </row>
    <row r="104" spans="1:7" ht="16.5">
      <c r="A104" s="14" t="s">
        <v>427</v>
      </c>
      <c r="B104" s="4">
        <f>VLOOKUP(A104,联盟DKP榜单!A$1:C$598,3,FALSE)-40*COUNTIF(扣分!A:A,A104)</f>
        <v>0</v>
      </c>
      <c r="C104" s="24">
        <f>50*COUNTIF(帮战总榜!A$1:AB$150,$A104)+40*COUNTIF(掠夺!A$1:AB$150,$A104)</f>
        <v>0</v>
      </c>
      <c r="D104" s="24">
        <f>20*COUNTIF(YY统计!A$2:M$150,$A104)</f>
        <v>0</v>
      </c>
      <c r="E104" s="24">
        <f>SUM(B104:D104)</f>
        <v>0</v>
      </c>
      <c r="F104" s="24">
        <f>IF(AND(E104&gt;=16,E104&lt;66),0.01,ROUNDDOWN((E104-16)/50,0))</f>
        <v>0</v>
      </c>
      <c r="G104" s="13">
        <f>IF(AND(F104&gt;=1,F104&lt;=6),E104-F104*50-16,IF(F104=0.01,E104-16,IF(F104=0,0,IF(F104&gt;6,E104-316,0))))</f>
        <v>0</v>
      </c>
    </row>
    <row r="105" spans="1:7" ht="16.5">
      <c r="A105" s="14" t="s">
        <v>290</v>
      </c>
      <c r="B105" s="4">
        <f>VLOOKUP(A105,联盟DKP榜单!A$1:C$598,3,FALSE)-40*COUNTIF(扣分!A:A,A105)</f>
        <v>0</v>
      </c>
      <c r="C105" s="24">
        <f>50*COUNTIF(帮战总榜!A$1:AB$150,$A105)+40*COUNTIF(掠夺!A$1:AB$150,$A105)</f>
        <v>0</v>
      </c>
      <c r="D105" s="24">
        <f>20*COUNTIF(YY统计!A$2:M$150,$A105)</f>
        <v>0</v>
      </c>
      <c r="E105" s="24">
        <f>SUM(B105:D105)</f>
        <v>0</v>
      </c>
      <c r="F105" s="24">
        <f>IF(AND(E105&gt;=16,E105&lt;66),0.01,ROUNDDOWN((E105-16)/50,0))</f>
        <v>0</v>
      </c>
      <c r="G105" s="13">
        <f>IF(AND(F105&gt;=1,F105&lt;=6),E105-F105*50-16,IF(F105=0.01,E105-16,IF(F105=0,0,IF(F105&gt;6,E105-316,0))))</f>
        <v>0</v>
      </c>
    </row>
    <row r="106" spans="1:7" ht="16.5">
      <c r="A106" s="14" t="s">
        <v>275</v>
      </c>
      <c r="B106" s="4">
        <f>VLOOKUP(A106,联盟DKP榜单!A$1:C$598,3,FALSE)-40*COUNTIF(扣分!A:A,A106)</f>
        <v>0</v>
      </c>
      <c r="C106" s="24">
        <f>50*COUNTIF(帮战总榜!A$1:AB$150,$A106)+40*COUNTIF(掠夺!A$1:AB$150,$A106)</f>
        <v>0</v>
      </c>
      <c r="D106" s="24">
        <f>20*COUNTIF(YY统计!A$2:M$150,$A106)</f>
        <v>0</v>
      </c>
      <c r="E106" s="24">
        <f>SUM(B106:D106)</f>
        <v>0</v>
      </c>
      <c r="F106" s="24">
        <f>IF(AND(E106&gt;=16,E106&lt;66),0.01,ROUNDDOWN((E106-16)/50,0))</f>
        <v>0</v>
      </c>
      <c r="G106" s="13">
        <f>IF(AND(F106&gt;=1,F106&lt;=6),E106-F106*50-16,IF(F106=0.01,E106-16,IF(F106=0,0,IF(F106&gt;6,E106-316,0))))</f>
        <v>0</v>
      </c>
    </row>
    <row r="107" spans="1:7" ht="16.5">
      <c r="A107" s="14" t="s">
        <v>428</v>
      </c>
      <c r="B107" s="4">
        <f>VLOOKUP(A107,联盟DKP榜单!A$1:C$598,3,FALSE)-40*COUNTIF(扣分!A:A,A107)</f>
        <v>0</v>
      </c>
      <c r="C107" s="24">
        <f>50*COUNTIF(帮战总榜!A$1:AB$150,$A107)+40*COUNTIF(掠夺!A$1:AB$150,$A107)</f>
        <v>0</v>
      </c>
      <c r="D107" s="24">
        <f>20*COUNTIF(YY统计!A$2:M$150,$A107)</f>
        <v>0</v>
      </c>
      <c r="E107" s="24">
        <f>SUM(B107:D107)</f>
        <v>0</v>
      </c>
      <c r="F107" s="24">
        <f>IF(AND(E107&gt;=16,E107&lt;66),0.01,ROUNDDOWN((E107-16)/50,0))</f>
        <v>0</v>
      </c>
      <c r="G107" s="13">
        <f>IF(AND(F107&gt;=1,F107&lt;=6),E107-F107*50-16,IF(F107=0.01,E107-16,IF(F107=0,0,IF(F107&gt;6,E107-316,0))))</f>
        <v>0</v>
      </c>
    </row>
    <row r="108" spans="1:7" ht="16.5">
      <c r="A108" s="14" t="s">
        <v>291</v>
      </c>
      <c r="B108" s="4">
        <f>VLOOKUP(A108,联盟DKP榜单!A$1:C$598,3,FALSE)-40*COUNTIF(扣分!A:A,A108)</f>
        <v>0</v>
      </c>
      <c r="C108" s="24">
        <f>50*COUNTIF(帮战总榜!A$1:AB$150,$A108)+40*COUNTIF(掠夺!A$1:AB$150,$A108)</f>
        <v>0</v>
      </c>
      <c r="D108" s="24">
        <f>20*COUNTIF(YY统计!A$2:M$150,$A108)</f>
        <v>0</v>
      </c>
      <c r="E108" s="24">
        <f>SUM(B108:D108)</f>
        <v>0</v>
      </c>
      <c r="F108" s="24">
        <f>IF(AND(E108&gt;=16,E108&lt;66),0.01,ROUNDDOWN((E108-16)/50,0))</f>
        <v>0</v>
      </c>
      <c r="G108" s="13">
        <f>IF(AND(F108&gt;=1,F108&lt;=6),E108-F108*50-16,IF(F108=0.01,E108-16,IF(F108=0,0,IF(F108&gt;6,E108-316,0))))</f>
        <v>0</v>
      </c>
    </row>
    <row r="109" spans="1:7" ht="16.5">
      <c r="A109" s="14" t="s">
        <v>292</v>
      </c>
      <c r="B109" s="4">
        <f>VLOOKUP(A109,联盟DKP榜单!A$1:C$598,3,FALSE)-40*COUNTIF(扣分!A:A,A109)</f>
        <v>0</v>
      </c>
      <c r="C109" s="24">
        <f>50*COUNTIF(帮战总榜!A$1:AB$150,$A109)+40*COUNTIF(掠夺!A$1:AB$150,$A109)</f>
        <v>0</v>
      </c>
      <c r="D109" s="24">
        <f>20*COUNTIF(YY统计!A$2:M$150,$A109)</f>
        <v>0</v>
      </c>
      <c r="E109" s="24">
        <f>SUM(B109:D109)</f>
        <v>0</v>
      </c>
      <c r="F109" s="24">
        <f>IF(AND(E109&gt;=16,E109&lt;66),0.01,ROUNDDOWN((E109-16)/50,0))</f>
        <v>0</v>
      </c>
      <c r="G109" s="13">
        <f>IF(AND(F109&gt;=1,F109&lt;=6),E109-F109*50-16,IF(F109=0.01,E109-16,IF(F109=0,0,IF(F109&gt;6,E109-316,0))))</f>
        <v>0</v>
      </c>
    </row>
    <row r="110" spans="1:7" ht="16.5">
      <c r="A110" s="14" t="s">
        <v>293</v>
      </c>
      <c r="B110" s="4">
        <f>VLOOKUP(A110,联盟DKP榜单!A$1:C$598,3,FALSE)-40*COUNTIF(扣分!A:A,A110)</f>
        <v>0</v>
      </c>
      <c r="C110" s="24">
        <f>50*COUNTIF(帮战总榜!A$1:AB$150,$A110)+40*COUNTIF(掠夺!A$1:AB$150,$A110)</f>
        <v>0</v>
      </c>
      <c r="D110" s="24">
        <f>20*COUNTIF(YY统计!A$2:M$150,$A110)</f>
        <v>0</v>
      </c>
      <c r="E110" s="24">
        <f>SUM(B110:D110)</f>
        <v>0</v>
      </c>
      <c r="F110" s="24">
        <f>IF(AND(E110&gt;=16,E110&lt;66),0.01,ROUNDDOWN((E110-16)/50,0))</f>
        <v>0</v>
      </c>
      <c r="G110" s="13">
        <f>IF(AND(F110&gt;=1,F110&lt;=6),E110-F110*50-16,IF(F110=0.01,E110-16,IF(F110=0,0,IF(F110&gt;6,E110-316,0))))</f>
        <v>0</v>
      </c>
    </row>
    <row r="111" spans="1:7" ht="16.5">
      <c r="A111" s="14" t="s">
        <v>294</v>
      </c>
      <c r="B111" s="4">
        <f>VLOOKUP(A111,联盟DKP榜单!A$1:C$598,3,FALSE)-40*COUNTIF(扣分!A:A,A111)</f>
        <v>0</v>
      </c>
      <c r="C111" s="24">
        <f>50*COUNTIF(帮战总榜!A$1:AB$150,$A111)+40*COUNTIF(掠夺!A$1:AB$150,$A111)</f>
        <v>0</v>
      </c>
      <c r="D111" s="24">
        <f>20*COUNTIF(YY统计!A$2:M$150,$A111)</f>
        <v>0</v>
      </c>
      <c r="E111" s="24">
        <f>SUM(B111:D111)</f>
        <v>0</v>
      </c>
      <c r="F111" s="24">
        <f>IF(AND(E111&gt;=16,E111&lt;66),0.01,ROUNDDOWN((E111-16)/50,0))</f>
        <v>0</v>
      </c>
      <c r="G111" s="13">
        <f>IF(AND(F111&gt;=1,F111&lt;=6),E111-F111*50-16,IF(F111=0.01,E111-16,IF(F111=0,0,IF(F111&gt;6,E111-316,0))))</f>
        <v>0</v>
      </c>
    </row>
    <row r="112" spans="1:7" ht="16.5">
      <c r="A112" s="14" t="s">
        <v>612</v>
      </c>
      <c r="B112" s="4">
        <f>VLOOKUP(A112,联盟DKP榜单!A$1:C$598,3,FALSE)-40*COUNTIF(扣分!A:A,A112)</f>
        <v>0</v>
      </c>
      <c r="C112" s="24">
        <f>50*COUNTIF(帮战总榜!A$1:AB$150,$A112)+40*COUNTIF(掠夺!A$1:AB$150,$A112)</f>
        <v>0</v>
      </c>
      <c r="D112" s="24">
        <f>20*COUNTIF(YY统计!A$2:M$150,$A112)</f>
        <v>0</v>
      </c>
      <c r="E112" s="24">
        <f>SUM(B112:D112)</f>
        <v>0</v>
      </c>
      <c r="F112" s="24">
        <f>IF(AND(E112&gt;=16,E112&lt;66),0.01,ROUNDDOWN((E112-16)/50,0))</f>
        <v>0</v>
      </c>
      <c r="G112" s="13">
        <f>IF(AND(F112&gt;=1,F112&lt;=6),E112-F112*50-16,IF(F112=0.01,E112-16,IF(F112=0,0,IF(F112&gt;6,E112-316,0))))</f>
        <v>0</v>
      </c>
    </row>
    <row r="113" spans="1:7" ht="16.5">
      <c r="A113" s="14" t="s">
        <v>613</v>
      </c>
      <c r="B113" s="4">
        <f>VLOOKUP(A113,联盟DKP榜单!A$1:C$598,3,FALSE)-40*COUNTIF(扣分!A:A,A113)</f>
        <v>0</v>
      </c>
      <c r="C113" s="24">
        <f>50*COUNTIF(帮战总榜!A$1:AB$150,$A113)+40*COUNTIF(掠夺!A$1:AB$150,$A113)</f>
        <v>0</v>
      </c>
      <c r="D113" s="24">
        <f>20*COUNTIF(YY统计!A$2:M$150,$A113)</f>
        <v>0</v>
      </c>
      <c r="E113" s="24">
        <f>SUM(B113:D113)</f>
        <v>0</v>
      </c>
      <c r="F113" s="24">
        <f>IF(AND(E113&gt;=16,E113&lt;66),0.01,ROUNDDOWN((E113-16)/50,0))</f>
        <v>0</v>
      </c>
      <c r="G113" s="13">
        <f>IF(AND(F113&gt;=1,F113&lt;=6),E113-F113*50-16,IF(F113=0.01,E113-16,IF(F113=0,0,IF(F113&gt;6,E113-316,0))))</f>
        <v>0</v>
      </c>
    </row>
    <row r="114" spans="1:7" ht="16.5">
      <c r="A114" s="14" t="s">
        <v>530</v>
      </c>
      <c r="B114" s="4">
        <f>VLOOKUP(A114,联盟DKP榜单!A$1:C$598,3,FALSE)-40*COUNTIF(扣分!A:A,A114)</f>
        <v>0</v>
      </c>
      <c r="C114" s="24">
        <f>50*COUNTIF(帮战总榜!A$1:AB$150,$A114)+40*COUNTIF(掠夺!A$1:AB$150,$A114)</f>
        <v>0</v>
      </c>
      <c r="D114" s="24">
        <f>20*COUNTIF(YY统计!A$2:M$150,$A114)</f>
        <v>0</v>
      </c>
      <c r="E114" s="24">
        <f>SUM(B114:D114)</f>
        <v>0</v>
      </c>
      <c r="F114" s="24">
        <f>IF(AND(E114&gt;=16,E114&lt;66),0.01,ROUNDDOWN((E114-16)/50,0))</f>
        <v>0</v>
      </c>
      <c r="G114" s="13">
        <f>IF(AND(F114&gt;=1,F114&lt;=6),E114-F114*50-16,IF(F114=0.01,E114-16,IF(F114=0,0,IF(F114&gt;6,E114-316,0))))</f>
        <v>0</v>
      </c>
    </row>
    <row r="115" spans="1:7" ht="16.5">
      <c r="A115" s="14" t="s">
        <v>296</v>
      </c>
      <c r="B115" s="4">
        <f>VLOOKUP(A115,联盟DKP榜单!A$1:C$598,3,FALSE)-40*COUNTIF(扣分!A:A,A115)</f>
        <v>0</v>
      </c>
      <c r="C115" s="24">
        <f>50*COUNTIF(帮战总榜!A$1:AB$150,$A115)+40*COUNTIF(掠夺!A$1:AB$150,$A115)</f>
        <v>0</v>
      </c>
      <c r="D115" s="24">
        <f>20*COUNTIF(YY统计!A$2:M$150,$A115)</f>
        <v>0</v>
      </c>
      <c r="E115" s="24">
        <f>SUM(B115:D115)</f>
        <v>0</v>
      </c>
      <c r="F115" s="24">
        <f>IF(AND(E115&gt;=16,E115&lt;66),0.01,ROUNDDOWN((E115-16)/50,0))</f>
        <v>0</v>
      </c>
      <c r="G115" s="13">
        <f>IF(AND(F115&gt;=1,F115&lt;=6),E115-F115*50-16,IF(F115=0.01,E115-16,IF(F115=0,0,IF(F115&gt;6,E115-316,0))))</f>
        <v>0</v>
      </c>
    </row>
    <row r="116" spans="1:7" ht="16.5">
      <c r="A116" s="14" t="s">
        <v>524</v>
      </c>
      <c r="B116" s="4">
        <f>VLOOKUP(A116,联盟DKP榜单!A$1:C$598,3,FALSE)-40*COUNTIF(扣分!A:A,A116)</f>
        <v>0</v>
      </c>
      <c r="C116" s="24">
        <f>50*COUNTIF(帮战总榜!A$1:AB$150,$A116)+40*COUNTIF(掠夺!A$1:AB$150,$A116)</f>
        <v>0</v>
      </c>
      <c r="D116" s="24">
        <f>20*COUNTIF(YY统计!A$2:M$150,$A116)</f>
        <v>0</v>
      </c>
      <c r="E116" s="24">
        <f>SUM(B116:D116)</f>
        <v>0</v>
      </c>
      <c r="F116" s="24">
        <f>IF(AND(E116&gt;=16,E116&lt;66),0.01,ROUNDDOWN((E116-16)/50,0))</f>
        <v>0</v>
      </c>
      <c r="G116" s="13">
        <f>IF(AND(F116&gt;=1,F116&lt;=6),E116-F116*50-16,IF(F116=0.01,E116-16,IF(F116=0,0,IF(F116&gt;6,E116-316,0))))</f>
        <v>0</v>
      </c>
    </row>
    <row r="117" spans="1:7" ht="16.5">
      <c r="A117" s="14" t="s">
        <v>337</v>
      </c>
      <c r="B117" s="4">
        <f>VLOOKUP(A117,联盟DKP榜单!A$1:C$598,3,FALSE)-40*COUNTIF(扣分!A:A,A117)</f>
        <v>0</v>
      </c>
      <c r="C117" s="24">
        <f>50*COUNTIF(帮战总榜!A$1:AB$150,$A117)+40*COUNTIF(掠夺!A$1:AB$150,$A117)</f>
        <v>0</v>
      </c>
      <c r="D117" s="24">
        <f>20*COUNTIF(YY统计!A$2:M$150,$A117)</f>
        <v>0</v>
      </c>
      <c r="E117" s="24">
        <f>SUM(B117:D117)</f>
        <v>0</v>
      </c>
      <c r="F117" s="24">
        <f>IF(AND(E117&gt;=16,E117&lt;66),0.01,ROUNDDOWN((E117-16)/50,0))</f>
        <v>0</v>
      </c>
      <c r="G117" s="13">
        <f>IF(AND(F117&gt;=1,F117&lt;=6),E117-F117*50-16,IF(F117=0.01,E117-16,IF(F117=0,0,IF(F117&gt;6,E117-316,0))))</f>
        <v>0</v>
      </c>
    </row>
    <row r="118" spans="1:7" ht="16.5">
      <c r="A118" s="14" t="s">
        <v>504</v>
      </c>
      <c r="B118" s="4">
        <f>VLOOKUP(A118,联盟DKP榜单!A$1:C$598,3,FALSE)-40*COUNTIF(扣分!A:A,A118)</f>
        <v>0</v>
      </c>
      <c r="C118" s="24">
        <f>50*COUNTIF(帮战总榜!A$1:AB$150,$A118)+40*COUNTIF(掠夺!A$1:AB$150,$A118)</f>
        <v>0</v>
      </c>
      <c r="D118" s="24">
        <f>20*COUNTIF(YY统计!A$2:M$150,$A118)</f>
        <v>0</v>
      </c>
      <c r="E118" s="24">
        <f>SUM(B118:D118)</f>
        <v>0</v>
      </c>
      <c r="F118" s="24">
        <f>IF(AND(E118&gt;=16,E118&lt;66),0.01,ROUNDDOWN((E118-16)/50,0))</f>
        <v>0</v>
      </c>
      <c r="G118" s="13">
        <f>IF(AND(F118&gt;=1,F118&lt;=6),E118-F118*50-16,IF(F118=0.01,E118-16,IF(F118=0,0,IF(F118&gt;6,E118-316,0))))</f>
        <v>0</v>
      </c>
    </row>
    <row r="119" spans="1:7" ht="16.5">
      <c r="A119" s="14" t="s">
        <v>338</v>
      </c>
      <c r="B119" s="4">
        <f>VLOOKUP(A119,联盟DKP榜单!A$1:C$598,3,FALSE)-40*COUNTIF(扣分!A:A,A119)</f>
        <v>0</v>
      </c>
      <c r="C119" s="24">
        <f>50*COUNTIF(帮战总榜!A$1:AB$150,$A119)+40*COUNTIF(掠夺!A$1:AB$150,$A119)</f>
        <v>0</v>
      </c>
      <c r="D119" s="24">
        <f>20*COUNTIF(YY统计!A$2:M$150,$A119)</f>
        <v>0</v>
      </c>
      <c r="E119" s="24">
        <f>SUM(B119:D119)</f>
        <v>0</v>
      </c>
      <c r="F119" s="24">
        <f>IF(AND(E119&gt;=16,E119&lt;66),0.01,ROUNDDOWN((E119-16)/50,0))</f>
        <v>0</v>
      </c>
      <c r="G119" s="13">
        <f>IF(AND(F119&gt;=1,F119&lt;=6),E119-F119*50-16,IF(F119=0.01,E119-16,IF(F119=0,0,IF(F119&gt;6,E119-316,0))))</f>
        <v>0</v>
      </c>
    </row>
    <row r="120" spans="1:7" ht="16.5">
      <c r="A120" s="14" t="s">
        <v>339</v>
      </c>
      <c r="B120" s="4">
        <f>VLOOKUP(A120,联盟DKP榜单!A$1:C$598,3,FALSE)-40*COUNTIF(扣分!A:A,A120)</f>
        <v>0</v>
      </c>
      <c r="C120" s="24">
        <f>50*COUNTIF(帮战总榜!A$1:AB$150,$A120)+40*COUNTIF(掠夺!A$1:AB$150,$A120)</f>
        <v>0</v>
      </c>
      <c r="D120" s="24">
        <f>20*COUNTIF(YY统计!A$2:M$150,$A120)</f>
        <v>0</v>
      </c>
      <c r="E120" s="24">
        <f>SUM(B120:D120)</f>
        <v>0</v>
      </c>
      <c r="F120" s="24">
        <f>IF(AND(E120&gt;=16,E120&lt;66),0.01,ROUNDDOWN((E120-16)/50,0))</f>
        <v>0</v>
      </c>
      <c r="G120" s="13">
        <f>IF(AND(F120&gt;=1,F120&lt;=6),E120-F120*50-16,IF(F120=0.01,E120-16,IF(F120=0,0,IF(F120&gt;6,E120-316,0))))</f>
        <v>0</v>
      </c>
    </row>
    <row r="121" spans="1:7" ht="16.5">
      <c r="A121" s="14" t="s">
        <v>340</v>
      </c>
      <c r="B121" s="4">
        <f>VLOOKUP(A121,联盟DKP榜单!A$1:C$598,3,FALSE)-40*COUNTIF(扣分!A:A,A121)</f>
        <v>0</v>
      </c>
      <c r="C121" s="24">
        <f>50*COUNTIF(帮战总榜!A$1:AB$150,$A121)+40*COUNTIF(掠夺!A$1:AB$150,$A121)</f>
        <v>0</v>
      </c>
      <c r="D121" s="24">
        <f>20*COUNTIF(YY统计!A$2:M$150,$A121)</f>
        <v>0</v>
      </c>
      <c r="E121" s="24">
        <f>SUM(B121:D121)</f>
        <v>0</v>
      </c>
      <c r="F121" s="24">
        <f>IF(AND(E121&gt;=16,E121&lt;66),0.01,ROUNDDOWN((E121-16)/50,0))</f>
        <v>0</v>
      </c>
      <c r="G121" s="13">
        <f>IF(AND(F121&gt;=1,F121&lt;=6),E121-F121*50-16,IF(F121=0.01,E121-16,IF(F121=0,0,IF(F121&gt;6,E121-316,0))))</f>
        <v>0</v>
      </c>
    </row>
    <row r="122" spans="1:7" ht="16.5">
      <c r="A122" s="14" t="s">
        <v>341</v>
      </c>
      <c r="B122" s="4">
        <f>VLOOKUP(A122,联盟DKP榜单!A$1:C$598,3,FALSE)-40*COUNTIF(扣分!A:A,A122)</f>
        <v>0</v>
      </c>
      <c r="C122" s="24">
        <f>50*COUNTIF(帮战总榜!A$1:AB$150,$A122)+40*COUNTIF(掠夺!A$1:AB$150,$A122)</f>
        <v>0</v>
      </c>
      <c r="D122" s="24">
        <f>20*COUNTIF(YY统计!A$2:M$150,$A122)</f>
        <v>0</v>
      </c>
      <c r="E122" s="24">
        <f>SUM(B122:D122)</f>
        <v>0</v>
      </c>
      <c r="F122" s="24">
        <f>IF(AND(E122&gt;=16,E122&lt;66),0.01,ROUNDDOWN((E122-16)/50,0))</f>
        <v>0</v>
      </c>
      <c r="G122" s="13">
        <f>IF(AND(F122&gt;=1,F122&lt;=6),E122-F122*50-16,IF(F122=0.01,E122-16,IF(F122=0,0,IF(F122&gt;6,E122-316,0))))</f>
        <v>0</v>
      </c>
    </row>
    <row r="123" spans="1:7" ht="16.5">
      <c r="A123" s="14" t="s">
        <v>505</v>
      </c>
      <c r="B123" s="4">
        <f>VLOOKUP(A123,联盟DKP榜单!A$1:C$598,3,FALSE)-40*COUNTIF(扣分!A:A,A123)</f>
        <v>0</v>
      </c>
      <c r="C123" s="24">
        <f>50*COUNTIF(帮战总榜!A$1:AB$150,$A123)+40*COUNTIF(掠夺!A$1:AB$150,$A123)</f>
        <v>0</v>
      </c>
      <c r="D123" s="24">
        <f>20*COUNTIF(YY统计!A$2:M$150,$A123)</f>
        <v>0</v>
      </c>
      <c r="E123" s="24">
        <f>SUM(B123:D123)</f>
        <v>0</v>
      </c>
      <c r="F123" s="24">
        <f>IF(AND(E123&gt;=16,E123&lt;66),0.01,ROUNDDOWN((E123-16)/50,0))</f>
        <v>0</v>
      </c>
      <c r="G123" s="13">
        <f>IF(AND(F123&gt;=1,F123&lt;=6),E123-F123*50-16,IF(F123=0.01,E123-16,IF(F123=0,0,IF(F123&gt;6,E123-316,0))))</f>
        <v>0</v>
      </c>
    </row>
    <row r="124" spans="1:7" ht="16.5">
      <c r="A124" s="14" t="s">
        <v>544</v>
      </c>
      <c r="B124" s="4">
        <f>VLOOKUP(A124,联盟DKP榜单!A$1:C$598,3,FALSE)-40*COUNTIF(扣分!A:A,A124)</f>
        <v>0</v>
      </c>
      <c r="C124" s="24">
        <f>50*COUNTIF(帮战总榜!A$1:AB$150,$A124)+40*COUNTIF(掠夺!A$1:AB$150,$A124)</f>
        <v>0</v>
      </c>
      <c r="D124" s="24">
        <f>20*COUNTIF(YY统计!A$2:M$150,$A124)</f>
        <v>0</v>
      </c>
      <c r="E124" s="24">
        <f>SUM(B124:D124)</f>
        <v>0</v>
      </c>
      <c r="F124" s="24">
        <f>IF(AND(E124&gt;=16,E124&lt;66),0.01,ROUNDDOWN((E124-16)/50,0))</f>
        <v>0</v>
      </c>
      <c r="G124" s="13">
        <f>IF(AND(F124&gt;=1,F124&lt;=6),E124-F124*50-16,IF(F124=0.01,E124-16,IF(F124=0,0,IF(F124&gt;6,E124-316,0))))</f>
        <v>0</v>
      </c>
    </row>
    <row r="125" spans="1:7" ht="16.5">
      <c r="A125" s="14" t="s">
        <v>434</v>
      </c>
      <c r="B125" s="4">
        <f>VLOOKUP(A125,联盟DKP榜单!A$1:C$598,3,FALSE)-40*COUNTIF(扣分!A:A,A125)</f>
        <v>0</v>
      </c>
      <c r="C125" s="24">
        <f>50*COUNTIF(帮战总榜!A$1:AB$150,$A125)+40*COUNTIF(掠夺!A$1:AB$150,$A125)</f>
        <v>0</v>
      </c>
      <c r="D125" s="24">
        <f>20*COUNTIF(YY统计!A$2:M$150,$A125)</f>
        <v>0</v>
      </c>
      <c r="E125" s="24">
        <f>SUM(B125:D125)</f>
        <v>0</v>
      </c>
      <c r="F125" s="24">
        <f>IF(AND(E125&gt;=16,E125&lt;66),0.01,ROUNDDOWN((E125-16)/50,0))</f>
        <v>0</v>
      </c>
      <c r="G125" s="13">
        <f>IF(AND(F125&gt;=1,F125&lt;=6),E125-F125*50-16,IF(F125=0.01,E125-16,IF(F125=0,0,IF(F125&gt;6,E125-316,0))))</f>
        <v>0</v>
      </c>
    </row>
    <row r="126" spans="1:7" ht="16.5">
      <c r="A126" s="14" t="s">
        <v>506</v>
      </c>
      <c r="B126" s="4">
        <f>VLOOKUP(A126,联盟DKP榜单!A$1:C$598,3,FALSE)-40*COUNTIF(扣分!A:A,A126)</f>
        <v>0</v>
      </c>
      <c r="C126" s="24">
        <f>50*COUNTIF(帮战总榜!A$1:AB$150,$A126)+40*COUNTIF(掠夺!A$1:AB$150,$A126)</f>
        <v>0</v>
      </c>
      <c r="D126" s="24">
        <f>20*COUNTIF(YY统计!A$2:M$150,$A126)</f>
        <v>0</v>
      </c>
      <c r="E126" s="24">
        <f>SUM(B126:D126)</f>
        <v>0</v>
      </c>
      <c r="F126" s="24">
        <f>IF(AND(E126&gt;=16,E126&lt;66),0.01,ROUNDDOWN((E126-16)/50,0))</f>
        <v>0</v>
      </c>
      <c r="G126" s="13">
        <f>IF(AND(F126&gt;=1,F126&lt;=6),E126-F126*50-16,IF(F126=0.01,E126-16,IF(F126=0,0,IF(F126&gt;6,E126-316,0))))</f>
        <v>0</v>
      </c>
    </row>
    <row r="127" spans="1:7" ht="16.5">
      <c r="A127" s="14" t="s">
        <v>342</v>
      </c>
      <c r="B127" s="4">
        <f>VLOOKUP(A127,联盟DKP榜单!A$1:C$598,3,FALSE)-40*COUNTIF(扣分!A:A,A127)</f>
        <v>0</v>
      </c>
      <c r="C127" s="24">
        <f>50*COUNTIF(帮战总榜!A$1:AB$150,$A127)+40*COUNTIF(掠夺!A$1:AB$150,$A127)</f>
        <v>0</v>
      </c>
      <c r="D127" s="24">
        <f>20*COUNTIF(YY统计!A$2:M$150,$A127)</f>
        <v>0</v>
      </c>
      <c r="E127" s="24">
        <f>SUM(B127:D127)</f>
        <v>0</v>
      </c>
      <c r="F127" s="24">
        <f>IF(AND(E127&gt;=16,E127&lt;66),0.01,ROUNDDOWN((E127-16)/50,0))</f>
        <v>0</v>
      </c>
      <c r="G127" s="13">
        <f>IF(AND(F127&gt;=1,F127&lt;=6),E127-F127*50-16,IF(F127=0.01,E127-16,IF(F127=0,0,IF(F127&gt;6,E127-316,0))))</f>
        <v>0</v>
      </c>
    </row>
    <row r="128" spans="1:7" ht="16.5">
      <c r="A128" s="14" t="s">
        <v>615</v>
      </c>
      <c r="B128" s="4">
        <f>VLOOKUP(A128,联盟DKP榜单!A$1:C$598,3,FALSE)-40*COUNTIF(扣分!A:A,A128)</f>
        <v>0</v>
      </c>
      <c r="C128" s="24">
        <f>50*COUNTIF(帮战总榜!A$1:AB$150,$A128)+40*COUNTIF(掠夺!A$1:AB$150,$A128)</f>
        <v>0</v>
      </c>
      <c r="D128" s="24">
        <f>20*COUNTIF(YY统计!A$2:M$150,$A128)</f>
        <v>0</v>
      </c>
      <c r="E128" s="24">
        <f>SUM(B128:D128)</f>
        <v>0</v>
      </c>
      <c r="F128" s="24">
        <f>IF(AND(E128&gt;=16,E128&lt;66),0.01,ROUNDDOWN((E128-16)/50,0))</f>
        <v>0</v>
      </c>
      <c r="G128" s="13">
        <f>IF(AND(F128&gt;=1,F128&lt;=6),E128-F128*50-16,IF(F128=0.01,E128-16,IF(F128=0,0,IF(F128&gt;6,E128-316,0))))</f>
        <v>0</v>
      </c>
    </row>
    <row r="129" spans="1:7" ht="16.5">
      <c r="A129" s="14" t="s">
        <v>312</v>
      </c>
      <c r="B129" s="4">
        <f>VLOOKUP(A129,联盟DKP榜单!A$1:C$598,3,FALSE)-40*COUNTIF(扣分!A:A,A129)</f>
        <v>0</v>
      </c>
      <c r="C129" s="24">
        <f>50*COUNTIF(帮战总榜!A$1:AB$150,$A129)+40*COUNTIF(掠夺!A$1:AB$150,$A129)</f>
        <v>0</v>
      </c>
      <c r="D129" s="24">
        <f>20*COUNTIF(YY统计!A$2:M$150,$A129)</f>
        <v>0</v>
      </c>
      <c r="E129" s="24">
        <f>SUM(B129:D129)</f>
        <v>0</v>
      </c>
      <c r="F129" s="24">
        <f>IF(AND(E129&gt;=16,E129&lt;66),0.01,ROUNDDOWN((E129-16)/50,0))</f>
        <v>0</v>
      </c>
      <c r="G129" s="13">
        <f>IF(AND(F129&gt;=1,F129&lt;=6),E129-F129*50-16,IF(F129=0.01,E129-16,IF(F129=0,0,IF(F129&gt;6,E129-316,0))))</f>
        <v>0</v>
      </c>
    </row>
    <row r="130" spans="1:7" ht="16.5">
      <c r="A130" s="14" t="s">
        <v>314</v>
      </c>
      <c r="B130" s="4">
        <f>VLOOKUP(A130,联盟DKP榜单!A$1:C$598,3,FALSE)-40*COUNTIF(扣分!A:A,A130)</f>
        <v>0</v>
      </c>
      <c r="C130" s="24">
        <f>50*COUNTIF(帮战总榜!A$1:AB$150,$A130)+40*COUNTIF(掠夺!A$1:AB$150,$A130)</f>
        <v>0</v>
      </c>
      <c r="D130" s="24">
        <f>20*COUNTIF(YY统计!A$2:M$150,$A130)</f>
        <v>0</v>
      </c>
      <c r="E130" s="24">
        <f>SUM(B130:D130)</f>
        <v>0</v>
      </c>
      <c r="F130" s="24">
        <f>IF(AND(E130&gt;=16,E130&lt;66),0.01,ROUNDDOWN((E130-16)/50,0))</f>
        <v>0</v>
      </c>
      <c r="G130" s="13">
        <f>IF(AND(F130&gt;=1,F130&lt;=6),E130-F130*50-16,IF(F130=0.01,E130-16,IF(F130=0,0,IF(F130&gt;6,E130-316,0))))</f>
        <v>0</v>
      </c>
    </row>
    <row r="131" spans="1:7" ht="16.5">
      <c r="A131" s="14" t="s">
        <v>481</v>
      </c>
      <c r="B131" s="4">
        <f>VLOOKUP(A131,联盟DKP榜单!A$1:C$598,3,FALSE)-40*COUNTIF(扣分!A:A,A131)</f>
        <v>0</v>
      </c>
      <c r="C131" s="24">
        <f>50*COUNTIF(帮战总榜!A$1:AB$150,$A131)+40*COUNTIF(掠夺!A$1:AB$150,$A131)</f>
        <v>0</v>
      </c>
      <c r="D131" s="24">
        <f>20*COUNTIF(YY统计!A$2:M$150,$A131)</f>
        <v>0</v>
      </c>
      <c r="E131" s="24">
        <f>SUM(B131:D131)</f>
        <v>0</v>
      </c>
      <c r="F131" s="24">
        <f>IF(AND(E131&gt;=16,E131&lt;66),0.01,ROUNDDOWN((E131-16)/50,0))</f>
        <v>0</v>
      </c>
      <c r="G131" s="13">
        <f>IF(AND(F131&gt;=1,F131&lt;=6),E131-F131*50-16,IF(F131=0.01,E131-16,IF(F131=0,0,IF(F131&gt;6,E131-316,0))))</f>
        <v>0</v>
      </c>
    </row>
    <row r="132" spans="1:7" ht="16.5">
      <c r="A132" s="14" t="s">
        <v>315</v>
      </c>
      <c r="B132" s="4">
        <f>VLOOKUP(A132,联盟DKP榜单!A$1:C$598,3,FALSE)-40*COUNTIF(扣分!A:A,A132)</f>
        <v>0</v>
      </c>
      <c r="C132" s="24">
        <f>50*COUNTIF(帮战总榜!A$1:AB$150,$A132)+40*COUNTIF(掠夺!A$1:AB$150,$A132)</f>
        <v>0</v>
      </c>
      <c r="D132" s="24">
        <f>20*COUNTIF(YY统计!A$2:M$150,$A132)</f>
        <v>0</v>
      </c>
      <c r="E132" s="24">
        <f>SUM(B132:D132)</f>
        <v>0</v>
      </c>
      <c r="F132" s="24">
        <f>IF(AND(E132&gt;=16,E132&lt;66),0.01,ROUNDDOWN((E132-16)/50,0))</f>
        <v>0</v>
      </c>
      <c r="G132" s="13">
        <f>IF(AND(F132&gt;=1,F132&lt;=6),E132-F132*50-16,IF(F132=0.01,E132-16,IF(F132=0,0,IF(F132&gt;6,E132-316,0))))</f>
        <v>0</v>
      </c>
    </row>
    <row r="133" spans="1:7" ht="16.5">
      <c r="A133" s="14" t="s">
        <v>542</v>
      </c>
      <c r="B133" s="4">
        <f>VLOOKUP(A133,联盟DKP榜单!A$1:C$598,3,FALSE)-40*COUNTIF(扣分!A:A,A133)</f>
        <v>0</v>
      </c>
      <c r="C133" s="24">
        <f>50*COUNTIF(帮战总榜!A$1:AB$150,$A133)+40*COUNTIF(掠夺!A$1:AB$150,$A133)</f>
        <v>0</v>
      </c>
      <c r="D133" s="24">
        <f>20*COUNTIF(YY统计!A$2:M$150,$A133)</f>
        <v>0</v>
      </c>
      <c r="E133" s="24">
        <f>SUM(B133:D133)</f>
        <v>0</v>
      </c>
      <c r="F133" s="24">
        <f>IF(AND(E133&gt;=16,E133&lt;66),0.01,ROUNDDOWN((E133-16)/50,0))</f>
        <v>0</v>
      </c>
      <c r="G133" s="13">
        <f>IF(AND(F133&gt;=1,F133&lt;=6),E133-F133*50-16,IF(F133=0.01,E133-16,IF(F133=0,0,IF(F133&gt;6,E133-316,0))))</f>
        <v>0</v>
      </c>
    </row>
    <row r="134" spans="1:7" ht="16.5">
      <c r="A134" s="14" t="s">
        <v>435</v>
      </c>
      <c r="B134" s="4">
        <f>VLOOKUP(A134,联盟DKP榜单!A$1:C$598,3,FALSE)-40*COUNTIF(扣分!A:A,A134)</f>
        <v>0</v>
      </c>
      <c r="C134" s="24">
        <f>50*COUNTIF(帮战总榜!A$1:AB$150,$A134)+40*COUNTIF(掠夺!A$1:AB$150,$A134)</f>
        <v>0</v>
      </c>
      <c r="D134" s="24">
        <f>20*COUNTIF(YY统计!A$2:M$150,$A134)</f>
        <v>0</v>
      </c>
      <c r="E134" s="24">
        <f>SUM(B134:D134)</f>
        <v>0</v>
      </c>
      <c r="F134" s="24">
        <f>IF(AND(E134&gt;=16,E134&lt;66),0.01,ROUNDDOWN((E134-16)/50,0))</f>
        <v>0</v>
      </c>
      <c r="G134" s="13">
        <f>IF(AND(F134&gt;=1,F134&lt;=6),E134-F134*50-16,IF(F134=0.01,E134-16,IF(F134=0,0,IF(F134&gt;6,E134-316,0))))</f>
        <v>0</v>
      </c>
    </row>
    <row r="135" spans="1:7" ht="16.5">
      <c r="A135" s="14" t="s">
        <v>617</v>
      </c>
      <c r="B135" s="4">
        <f>VLOOKUP(A135,联盟DKP榜单!A$1:C$598,3,FALSE)-40*COUNTIF(扣分!A:A,A135)</f>
        <v>0</v>
      </c>
      <c r="C135" s="24">
        <f>50*COUNTIF(帮战总榜!A$1:AB$150,$A135)+40*COUNTIF(掠夺!A$1:AB$150,$A135)</f>
        <v>0</v>
      </c>
      <c r="D135" s="24">
        <f>20*COUNTIF(YY统计!A$2:M$150,$A135)</f>
        <v>0</v>
      </c>
      <c r="E135" s="24">
        <f>SUM(B135:D135)</f>
        <v>0</v>
      </c>
      <c r="F135" s="24">
        <f>IF(AND(E135&gt;=16,E135&lt;66),0.01,ROUNDDOWN((E135-16)/50,0))</f>
        <v>0</v>
      </c>
      <c r="G135" s="13">
        <f>IF(AND(F135&gt;=1,F135&lt;=6),E135-F135*50-16,IF(F135=0.01,E135-16,IF(F135=0,0,IF(F135&gt;6,E135-316,0))))</f>
        <v>0</v>
      </c>
    </row>
    <row r="136" spans="1:7" ht="16.5">
      <c r="A136" s="14" t="s">
        <v>507</v>
      </c>
      <c r="B136" s="4">
        <f>VLOOKUP(A136,联盟DKP榜单!A$1:C$598,3,FALSE)-40*COUNTIF(扣分!A:A,A136)</f>
        <v>0</v>
      </c>
      <c r="C136" s="24">
        <f>50*COUNTIF(帮战总榜!A$1:AB$150,$A136)+40*COUNTIF(掠夺!A$1:AB$150,$A136)</f>
        <v>0</v>
      </c>
      <c r="D136" s="24">
        <f>20*COUNTIF(YY统计!A$2:M$150,$A136)</f>
        <v>0</v>
      </c>
      <c r="E136" s="24">
        <f>SUM(B136:D136)</f>
        <v>0</v>
      </c>
      <c r="F136" s="24">
        <f>IF(AND(E136&gt;=16,E136&lt;66),0.01,ROUNDDOWN((E136-16)/50,0))</f>
        <v>0</v>
      </c>
      <c r="G136" s="13">
        <f>IF(AND(F136&gt;=1,F136&lt;=6),E136-F136*50-16,IF(F136=0.01,E136-16,IF(F136=0,0,IF(F136&gt;6,E136-316,0))))</f>
        <v>0</v>
      </c>
    </row>
    <row r="137" spans="1:7" ht="16.5">
      <c r="A137" s="14" t="s">
        <v>618</v>
      </c>
      <c r="B137" s="4">
        <f>VLOOKUP(A137,联盟DKP榜单!A$1:C$598,3,FALSE)-40*COUNTIF(扣分!A:A,A137)</f>
        <v>0</v>
      </c>
      <c r="C137" s="24">
        <f>50*COUNTIF(帮战总榜!A$1:AB$150,$A137)+40*COUNTIF(掠夺!A$1:AB$150,$A137)</f>
        <v>0</v>
      </c>
      <c r="D137" s="24">
        <f>20*COUNTIF(YY统计!A$2:M$150,$A137)</f>
        <v>0</v>
      </c>
      <c r="E137" s="24">
        <f>SUM(B137:D137)</f>
        <v>0</v>
      </c>
      <c r="F137" s="24">
        <f>IF(AND(E137&gt;=16,E137&lt;66),0.01,ROUNDDOWN((E137-16)/50,0))</f>
        <v>0</v>
      </c>
      <c r="G137" s="13">
        <f>IF(AND(F137&gt;=1,F137&lt;=6),E137-F137*50-16,IF(F137=0.01,E137-16,IF(F137=0,0,IF(F137&gt;6,E137-316,0))))</f>
        <v>0</v>
      </c>
    </row>
    <row r="138" spans="1:7" ht="16.5">
      <c r="A138" s="14" t="s">
        <v>318</v>
      </c>
      <c r="B138" s="4">
        <f>VLOOKUP(A138,联盟DKP榜单!A$1:C$598,3,FALSE)-40*COUNTIF(扣分!A:A,A138)</f>
        <v>0</v>
      </c>
      <c r="C138" s="24">
        <f>50*COUNTIF(帮战总榜!A$1:AB$150,$A138)+40*COUNTIF(掠夺!A$1:AB$150,$A138)</f>
        <v>0</v>
      </c>
      <c r="D138" s="24">
        <f>20*COUNTIF(YY统计!A$2:M$150,$A138)</f>
        <v>0</v>
      </c>
      <c r="E138" s="24">
        <f>SUM(B138:D138)</f>
        <v>0</v>
      </c>
      <c r="F138" s="24">
        <f>IF(AND(E138&gt;=16,E138&lt;66),0.01,ROUNDDOWN((E138-16)/50,0))</f>
        <v>0</v>
      </c>
      <c r="G138" s="13">
        <f>IF(AND(F138&gt;=1,F138&lt;=6),E138-F138*50-16,IF(F138=0.01,E138-16,IF(F138=0,0,IF(F138&gt;6,E138-316,0))))</f>
        <v>0</v>
      </c>
    </row>
    <row r="139" spans="1:7" ht="16.5">
      <c r="A139" s="14" t="s">
        <v>319</v>
      </c>
      <c r="B139" s="4">
        <f>VLOOKUP(A139,联盟DKP榜单!A$1:C$598,3,FALSE)-40*COUNTIF(扣分!A:A,A139)</f>
        <v>0</v>
      </c>
      <c r="C139" s="24">
        <f>50*COUNTIF(帮战总榜!A$1:AB$150,$A139)+40*COUNTIF(掠夺!A$1:AB$150,$A139)</f>
        <v>0</v>
      </c>
      <c r="D139" s="24">
        <f>20*COUNTIF(YY统计!A$2:M$150,$A139)</f>
        <v>0</v>
      </c>
      <c r="E139" s="24">
        <f>SUM(B139:D139)</f>
        <v>0</v>
      </c>
      <c r="F139" s="24">
        <f>IF(AND(E139&gt;=16,E139&lt;66),0.01,ROUNDDOWN((E139-16)/50,0))</f>
        <v>0</v>
      </c>
      <c r="G139" s="13">
        <f>IF(AND(F139&gt;=1,F139&lt;=6),E139-F139*50-16,IF(F139=0.01,E139-16,IF(F139=0,0,IF(F139&gt;6,E139-316,0))))</f>
        <v>0</v>
      </c>
    </row>
    <row r="140" spans="1:7" ht="16.5">
      <c r="A140" s="14" t="s">
        <v>493</v>
      </c>
      <c r="B140" s="4">
        <f>VLOOKUP(A140,联盟DKP榜单!A$1:C$598,3,FALSE)-40*COUNTIF(扣分!A:A,A140)</f>
        <v>0</v>
      </c>
      <c r="C140" s="24">
        <f>50*COUNTIF(帮战总榜!A$1:AB$150,$A140)+40*COUNTIF(掠夺!A$1:AB$150,$A140)</f>
        <v>0</v>
      </c>
      <c r="D140" s="24">
        <f>20*COUNTIF(YY统计!A$2:M$150,$A140)</f>
        <v>0</v>
      </c>
      <c r="E140" s="24">
        <f>SUM(B140:D140)</f>
        <v>0</v>
      </c>
      <c r="F140" s="24">
        <f>IF(AND(E140&gt;=16,E140&lt;66),0.01,ROUNDDOWN((E140-16)/50,0))</f>
        <v>0</v>
      </c>
      <c r="G140" s="13">
        <f>IF(AND(F140&gt;=1,F140&lt;=6),E140-F140*50-16,IF(F140=0.01,E140-16,IF(F140=0,0,IF(F140&gt;6,E140-316,0))))</f>
        <v>0</v>
      </c>
    </row>
    <row r="141" spans="1:7" ht="16.5">
      <c r="A141" s="14" t="s">
        <v>508</v>
      </c>
      <c r="B141" s="4">
        <f>VLOOKUP(A141,联盟DKP榜单!A$1:C$598,3,FALSE)-40*COUNTIF(扣分!A:A,A141)</f>
        <v>0</v>
      </c>
      <c r="C141" s="24">
        <f>50*COUNTIF(帮战总榜!A$1:AB$150,$A141)+40*COUNTIF(掠夺!A$1:AB$150,$A141)</f>
        <v>0</v>
      </c>
      <c r="D141" s="24">
        <f>20*COUNTIF(YY统计!A$2:M$150,$A141)</f>
        <v>0</v>
      </c>
      <c r="E141" s="24">
        <f>SUM(B141:D141)</f>
        <v>0</v>
      </c>
      <c r="F141" s="24">
        <f>IF(AND(E141&gt;=16,E141&lt;66),0.01,ROUNDDOWN((E141-16)/50,0))</f>
        <v>0</v>
      </c>
      <c r="G141" s="13">
        <f>IF(AND(F141&gt;=1,F141&lt;=6),E141-F141*50-16,IF(F141=0.01,E141-16,IF(F141=0,0,IF(F141&gt;6,E141-316,0))))</f>
        <v>0</v>
      </c>
    </row>
    <row r="142" spans="1:7" ht="16.5">
      <c r="A142" s="14" t="s">
        <v>321</v>
      </c>
      <c r="B142" s="4">
        <f>VLOOKUP(A142,联盟DKP榜单!A$1:C$598,3,FALSE)-40*COUNTIF(扣分!A:A,A142)</f>
        <v>0</v>
      </c>
      <c r="C142" s="24">
        <f>50*COUNTIF(帮战总榜!A$1:AB$150,$A142)+40*COUNTIF(掠夺!A$1:AB$150,$A142)</f>
        <v>0</v>
      </c>
      <c r="D142" s="24">
        <f>20*COUNTIF(YY统计!A$2:M$150,$A142)</f>
        <v>0</v>
      </c>
      <c r="E142" s="24">
        <f>SUM(B142:D142)</f>
        <v>0</v>
      </c>
      <c r="F142" s="24">
        <f>IF(AND(E142&gt;=16,E142&lt;66),0.01,ROUNDDOWN((E142-16)/50,0))</f>
        <v>0</v>
      </c>
      <c r="G142" s="13">
        <f>IF(AND(F142&gt;=1,F142&lt;=6),E142-F142*50-16,IF(F142=0.01,E142-16,IF(F142=0,0,IF(F142&gt;6,E142-316,0))))</f>
        <v>0</v>
      </c>
    </row>
    <row r="143" spans="1:7" ht="16.5">
      <c r="A143" s="14" t="s">
        <v>322</v>
      </c>
      <c r="B143" s="4">
        <f>VLOOKUP(A143,联盟DKP榜单!A$1:C$598,3,FALSE)-40*COUNTIF(扣分!A:A,A143)</f>
        <v>0</v>
      </c>
      <c r="C143" s="24">
        <f>50*COUNTIF(帮战总榜!A$1:AB$150,$A143)+40*COUNTIF(掠夺!A$1:AB$150,$A143)</f>
        <v>0</v>
      </c>
      <c r="D143" s="24">
        <f>20*COUNTIF(YY统计!A$2:M$150,$A143)</f>
        <v>0</v>
      </c>
      <c r="E143" s="24">
        <f>SUM(B143:D143)</f>
        <v>0</v>
      </c>
      <c r="F143" s="24">
        <f>IF(AND(E143&gt;=16,E143&lt;66),0.01,ROUNDDOWN((E143-16)/50,0))</f>
        <v>0</v>
      </c>
      <c r="G143" s="13">
        <f>IF(AND(F143&gt;=1,F143&lt;=6),E143-F143*50-16,IF(F143=0.01,E143-16,IF(F143=0,0,IF(F143&gt;6,E143-316,0))))</f>
        <v>0</v>
      </c>
    </row>
    <row r="144" spans="1:7" ht="16.5">
      <c r="A144" s="14" t="s">
        <v>492</v>
      </c>
      <c r="B144" s="4">
        <f>VLOOKUP(A144,联盟DKP榜单!A$1:C$598,3,FALSE)-40*COUNTIF(扣分!A:A,A144)</f>
        <v>0</v>
      </c>
      <c r="C144" s="24">
        <f>50*COUNTIF(帮战总榜!A$1:AB$150,$A144)+40*COUNTIF(掠夺!A$1:AB$150,$A144)</f>
        <v>0</v>
      </c>
      <c r="D144" s="24">
        <f>20*COUNTIF(YY统计!A$2:M$150,$A144)</f>
        <v>0</v>
      </c>
      <c r="E144" s="24">
        <f>SUM(B144:D144)</f>
        <v>0</v>
      </c>
      <c r="F144" s="24">
        <f>IF(AND(E144&gt;=16,E144&lt;66),0.01,ROUNDDOWN((E144-16)/50,0))</f>
        <v>0</v>
      </c>
      <c r="G144" s="13">
        <f>IF(AND(F144&gt;=1,F144&lt;=6),E144-F144*50-16,IF(F144=0.01,E144-16,IF(F144=0,0,IF(F144&gt;6,E144-316,0))))</f>
        <v>0</v>
      </c>
    </row>
    <row r="145" spans="1:7" ht="16.5">
      <c r="A145" s="14" t="s">
        <v>264</v>
      </c>
      <c r="B145" s="4">
        <f>VLOOKUP(A145,联盟DKP榜单!A$1:C$598,3,FALSE)-40*COUNTIF(扣分!A:A,A145)</f>
        <v>0</v>
      </c>
      <c r="C145" s="24">
        <f>50*COUNTIF(帮战总榜!A$1:AB$150,$A145)+40*COUNTIF(掠夺!A$1:AB$150,$A145)</f>
        <v>0</v>
      </c>
      <c r="D145" s="24">
        <f>20*COUNTIF(YY统计!A$2:M$150,$A145)</f>
        <v>0</v>
      </c>
      <c r="E145" s="24">
        <f>SUM(B145:D145)</f>
        <v>0</v>
      </c>
      <c r="F145" s="24">
        <f>IF(AND(E145&gt;=16,E145&lt;66),0.01,ROUNDDOWN((E145-16)/50,0))</f>
        <v>0</v>
      </c>
      <c r="G145" s="13">
        <f>IF(AND(F145&gt;=1,F145&lt;=6),E145-F145*50-16,IF(F145=0.01,E145-16,IF(F145=0,0,IF(F145&gt;6,E145-316,0))))</f>
        <v>0</v>
      </c>
    </row>
    <row r="146" spans="1:7" ht="16.5">
      <c r="A146" s="14" t="s">
        <v>323</v>
      </c>
      <c r="B146" s="4">
        <f>VLOOKUP(A146,联盟DKP榜单!A$1:C$598,3,FALSE)-40*COUNTIF(扣分!A:A,A146)</f>
        <v>0</v>
      </c>
      <c r="C146" s="24">
        <f>50*COUNTIF(帮战总榜!A$1:AB$150,$A146)+40*COUNTIF(掠夺!A$1:AB$150,$A146)</f>
        <v>0</v>
      </c>
      <c r="D146" s="24">
        <f>20*COUNTIF(YY统计!A$2:M$150,$A146)</f>
        <v>0</v>
      </c>
      <c r="E146" s="24">
        <f>SUM(B146:D146)</f>
        <v>0</v>
      </c>
      <c r="F146" s="24">
        <f>IF(AND(E146&gt;=16,E146&lt;66),0.01,ROUNDDOWN((E146-16)/50,0))</f>
        <v>0</v>
      </c>
      <c r="G146" s="13">
        <f>IF(AND(F146&gt;=1,F146&lt;=6),E146-F146*50-16,IF(F146=0.01,E146-16,IF(F146=0,0,IF(F146&gt;6,E146-316,0))))</f>
        <v>0</v>
      </c>
    </row>
    <row r="147" spans="1:7" ht="16.5">
      <c r="A147" s="14" t="s">
        <v>278</v>
      </c>
      <c r="B147" s="4">
        <f>VLOOKUP(A147,联盟DKP榜单!A$1:C$598,3,FALSE)-40*COUNTIF(扣分!A:A,A147)</f>
        <v>0</v>
      </c>
      <c r="C147" s="24">
        <f>50*COUNTIF(帮战总榜!A$1:AB$150,$A147)+40*COUNTIF(掠夺!A$1:AB$150,$A147)</f>
        <v>0</v>
      </c>
      <c r="D147" s="24">
        <f>20*COUNTIF(YY统计!A$2:M$150,$A147)</f>
        <v>0</v>
      </c>
      <c r="E147" s="24">
        <f>SUM(B147:D147)</f>
        <v>0</v>
      </c>
      <c r="F147" s="24">
        <f>IF(AND(E147&gt;=16,E147&lt;66),0.01,ROUNDDOWN((E147-16)/50,0))</f>
        <v>0</v>
      </c>
      <c r="G147" s="13">
        <f>IF(AND(F147&gt;=1,F147&lt;=6),E147-F147*50-16,IF(F147=0.01,E147-16,IF(F147=0,0,IF(F147&gt;6,E147-316,0))))</f>
        <v>0</v>
      </c>
    </row>
    <row r="148" spans="1:7" ht="16.5">
      <c r="A148" s="14" t="s">
        <v>273</v>
      </c>
      <c r="B148" s="4">
        <f>VLOOKUP(A148,联盟DKP榜单!A$1:C$598,3,FALSE)-40*COUNTIF(扣分!A:A,A148)</f>
        <v>0</v>
      </c>
      <c r="C148" s="24">
        <f>50*COUNTIF(帮战总榜!A$1:AB$150,$A148)+40*COUNTIF(掠夺!A$1:AB$150,$A148)</f>
        <v>0</v>
      </c>
      <c r="D148" s="24">
        <f>20*COUNTIF(YY统计!A$2:M$150,$A148)</f>
        <v>0</v>
      </c>
      <c r="E148" s="24">
        <f>SUM(B148:D148)</f>
        <v>0</v>
      </c>
      <c r="F148" s="24">
        <f>IF(AND(E148&gt;=16,E148&lt;66),0.01,ROUNDDOWN((E148-16)/50,0))</f>
        <v>0</v>
      </c>
      <c r="G148" s="13">
        <f>IF(AND(F148&gt;=1,F148&lt;=6),E148-F148*50-16,IF(F148=0.01,E148-16,IF(F148=0,0,IF(F148&gt;6,E148-316,0))))</f>
        <v>0</v>
      </c>
    </row>
    <row r="149" spans="1:7" ht="16.5">
      <c r="A149" s="14"/>
      <c r="B149" s="4"/>
      <c r="C149" s="24"/>
      <c r="D149" s="24"/>
      <c r="E149" s="24"/>
      <c r="F149" s="24"/>
    </row>
    <row r="150" spans="1:7" ht="16.5">
      <c r="B150" s="4"/>
      <c r="C150" s="11"/>
      <c r="D150" s="11"/>
      <c r="E150" s="11"/>
      <c r="F150" s="11"/>
    </row>
  </sheetData>
  <sortState ref="A2:G151">
    <sortCondition descending="1" ref="F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E3" sqref="E3"/>
    </sheetView>
  </sheetViews>
  <sheetFormatPr defaultRowHeight="15"/>
  <cols>
    <col min="1" max="1" width="16.28515625" style="1" bestFit="1" customWidth="1"/>
    <col min="2" max="2" width="5.85546875" style="6" bestFit="1" customWidth="1"/>
    <col min="3" max="3" width="5.28515625" style="6" bestFit="1" customWidth="1"/>
    <col min="4" max="4" width="7.28515625" style="21" customWidth="1"/>
    <col min="5" max="5" width="5.7109375" style="6" customWidth="1"/>
    <col min="6" max="6" width="9.5703125" style="6" bestFit="1" customWidth="1"/>
    <col min="8" max="11" width="9.5703125" customWidth="1"/>
  </cols>
  <sheetData>
    <row r="1" spans="1:11">
      <c r="A1" s="19" t="s">
        <v>5</v>
      </c>
      <c r="B1" s="20" t="s">
        <v>22</v>
      </c>
      <c r="C1" s="20" t="s">
        <v>10</v>
      </c>
      <c r="D1" s="20" t="s">
        <v>23</v>
      </c>
      <c r="E1" s="20" t="s">
        <v>6</v>
      </c>
      <c r="F1" s="20" t="s">
        <v>9</v>
      </c>
      <c r="G1" s="20" t="s">
        <v>620</v>
      </c>
      <c r="J1" s="20" t="s">
        <v>11</v>
      </c>
      <c r="K1" s="20" t="s">
        <v>12</v>
      </c>
    </row>
    <row r="2" spans="1:11" ht="16.5">
      <c r="A2" s="14" t="s">
        <v>161</v>
      </c>
      <c r="B2" s="4">
        <f>VLOOKUP(A2,联盟DKP榜单!A$1:C$598,3,FALSE)-40*COUNTIF(扣分!A:A,A2)</f>
        <v>143</v>
      </c>
      <c r="C2" s="24">
        <f>50*COUNTIF(帮战总榜!A$1:AB$150,$A2)+40*COUNTIF(掠夺!A$1:AB$150,$A2)</f>
        <v>80</v>
      </c>
      <c r="D2" s="24">
        <f>20*COUNTIF(YY统计!A$2:M$150,$A2)</f>
        <v>100</v>
      </c>
      <c r="E2" s="24">
        <f>SUM(B2:D2)</f>
        <v>323</v>
      </c>
      <c r="F2" s="24">
        <f>IF(AND(E2&gt;=16,E2&lt;66),0.01,ROUNDDOWN((E2-16)/50,0))</f>
        <v>6</v>
      </c>
      <c r="G2">
        <f>IF(AND(F2&gt;=1,F2&lt;=6),E2-F2*50-16,IF(F2=0.01,E2-16,IF(F2=0,0,IF(F2&gt;6,E2-316,0))))</f>
        <v>7</v>
      </c>
      <c r="J2" s="3">
        <f>INT(SUM(F2:F157))</f>
        <v>150</v>
      </c>
      <c r="K2" s="3">
        <f>COUNTIF(F:F,"&gt;"&amp;6)</f>
        <v>0</v>
      </c>
    </row>
    <row r="3" spans="1:11" ht="16.5">
      <c r="A3" s="14" t="s">
        <v>142</v>
      </c>
      <c r="B3" s="4">
        <f>VLOOKUP(A3,联盟DKP榜单!A$1:C$598,3,FALSE)-40*COUNTIF(扣分!A:A,A3)</f>
        <v>127</v>
      </c>
      <c r="C3" s="24">
        <f>50*COUNTIF(帮战总榜!A$1:AB$150,$A3)+40*COUNTIF(掠夺!A$1:AB$150,$A3)</f>
        <v>80</v>
      </c>
      <c r="D3" s="24">
        <f>20*COUNTIF(YY统计!A$2:M$150,$A3)</f>
        <v>140</v>
      </c>
      <c r="E3" s="24">
        <f>SUM(B3:D3)</f>
        <v>347</v>
      </c>
      <c r="F3" s="24">
        <f>IF(AND(E3&gt;=16,E3&lt;66),0.01,ROUNDDOWN((E3-16)/50,0))</f>
        <v>6</v>
      </c>
      <c r="G3" s="13">
        <f>IF(AND(F3&gt;=1,F3&lt;=6),E3-F3*50-16,IF(F3=0.01,E3-16,IF(F3=0,0,IF(F3&gt;6,E3-316,0))))</f>
        <v>31</v>
      </c>
    </row>
    <row r="4" spans="1:11" ht="16.5">
      <c r="A4" s="14" t="s">
        <v>150</v>
      </c>
      <c r="B4" s="4">
        <f>VLOOKUP(A4,联盟DKP榜单!A$1:C$598,3,FALSE)-40*COUNTIF(扣分!A:A,A4)</f>
        <v>129</v>
      </c>
      <c r="C4" s="24">
        <f>50*COUNTIF(帮战总榜!A$1:AB$150,$A4)+40*COUNTIF(掠夺!A$1:AB$150,$A4)</f>
        <v>80</v>
      </c>
      <c r="D4" s="24">
        <f>20*COUNTIF(YY统计!A$2:M$150,$A4)</f>
        <v>80</v>
      </c>
      <c r="E4" s="24">
        <f>SUM(B4:D4)</f>
        <v>289</v>
      </c>
      <c r="F4" s="24">
        <f>IF(AND(E4&gt;=16,E4&lt;66),0.01,ROUNDDOWN((E4-16)/50,0))</f>
        <v>5</v>
      </c>
      <c r="G4" s="13">
        <f>IF(AND(F4&gt;=1,F4&lt;=6),E4-F4*50-16,IF(F4=0.01,E4-16,IF(F4=0,0,IF(F4&gt;6,E4-316,0))))</f>
        <v>23</v>
      </c>
    </row>
    <row r="5" spans="1:11" ht="16.5">
      <c r="A5" s="14" t="s">
        <v>163</v>
      </c>
      <c r="B5" s="4">
        <f>VLOOKUP(A5,联盟DKP榜单!A$1:C$598,3,FALSE)-40*COUNTIF(扣分!A:A,A5)</f>
        <v>125</v>
      </c>
      <c r="C5" s="24">
        <f>50*COUNTIF(帮战总榜!A$1:AB$150,$A5)+40*COUNTIF(掠夺!A$1:AB$150,$A5)</f>
        <v>80</v>
      </c>
      <c r="D5" s="24">
        <f>20*COUNTIF(YY统计!A$2:M$150,$A5)</f>
        <v>80</v>
      </c>
      <c r="E5" s="24">
        <f>SUM(B5:D5)</f>
        <v>285</v>
      </c>
      <c r="F5" s="24">
        <f>IF(AND(E5&gt;=16,E5&lt;66),0.01,ROUNDDOWN((E5-16)/50,0))</f>
        <v>5</v>
      </c>
      <c r="G5" s="13">
        <f>IF(AND(F5&gt;=1,F5&lt;=6),E5-F5*50-16,IF(F5=0.01,E5-16,IF(F5=0,0,IF(F5&gt;6,E5-316,0))))</f>
        <v>19</v>
      </c>
    </row>
    <row r="6" spans="1:11" ht="16.5">
      <c r="A6" s="14" t="s">
        <v>139</v>
      </c>
      <c r="B6" s="4">
        <f>VLOOKUP(A6,联盟DKP榜单!A$1:C$598,3,FALSE)-40*COUNTIF(扣分!A:A,A6)</f>
        <v>90</v>
      </c>
      <c r="C6" s="24">
        <f>50*COUNTIF(帮战总榜!A$1:AB$150,$A6)+40*COUNTIF(掠夺!A$1:AB$150,$A6)</f>
        <v>80</v>
      </c>
      <c r="D6" s="24">
        <f>20*COUNTIF(YY统计!A$2:M$150,$A6)</f>
        <v>100</v>
      </c>
      <c r="E6" s="24">
        <f>SUM(B6:D6)</f>
        <v>270</v>
      </c>
      <c r="F6" s="24">
        <f>IF(AND(E6&gt;=16,E6&lt;66),0.01,ROUNDDOWN((E6-16)/50,0))</f>
        <v>5</v>
      </c>
      <c r="G6" s="13">
        <f>IF(AND(F6&gt;=1,F6&lt;=6),E6-F6*50-16,IF(F6=0.01,E6-16,IF(F6=0,0,IF(F6&gt;6,E6-316,0))))</f>
        <v>4</v>
      </c>
    </row>
    <row r="7" spans="1:11" ht="16.5">
      <c r="A7" s="14" t="s">
        <v>166</v>
      </c>
      <c r="B7" s="4">
        <f>VLOOKUP(A7,联盟DKP榜单!A$1:C$598,3,FALSE)-40*COUNTIF(扣分!A:A,A7)</f>
        <v>125</v>
      </c>
      <c r="C7" s="24">
        <f>50*COUNTIF(帮战总榜!A$1:AB$150,$A7)+40*COUNTIF(掠夺!A$1:AB$150,$A7)</f>
        <v>40</v>
      </c>
      <c r="D7" s="24">
        <f>20*COUNTIF(YY统计!A$2:M$150,$A7)</f>
        <v>60</v>
      </c>
      <c r="E7" s="24">
        <f>SUM(B7:D7)</f>
        <v>225</v>
      </c>
      <c r="F7" s="24">
        <f>IF(AND(E7&gt;=16,E7&lt;66),0.01,ROUNDDOWN((E7-16)/50,0))</f>
        <v>4</v>
      </c>
      <c r="G7" s="13">
        <f>IF(AND(F7&gt;=1,F7&lt;=6),E7-F7*50-16,IF(F7=0.01,E7-16,IF(F7=0,0,IF(F7&gt;6,E7-316,0))))</f>
        <v>9</v>
      </c>
    </row>
    <row r="8" spans="1:11" ht="16.5">
      <c r="A8" s="14" t="s">
        <v>167</v>
      </c>
      <c r="B8" s="4">
        <f>VLOOKUP(A8,联盟DKP榜单!A$1:C$598,3,FALSE)-40*COUNTIF(扣分!A:A,A8)</f>
        <v>85</v>
      </c>
      <c r="C8" s="24">
        <f>50*COUNTIF(帮战总榜!A$1:AB$150,$A8)+40*COUNTIF(掠夺!A$1:AB$150,$A8)</f>
        <v>80</v>
      </c>
      <c r="D8" s="24">
        <f>20*COUNTIF(YY统计!A$2:M$150,$A8)</f>
        <v>80</v>
      </c>
      <c r="E8" s="24">
        <f>SUM(B8:D8)</f>
        <v>245</v>
      </c>
      <c r="F8" s="24">
        <f>IF(AND(E8&gt;=16,E8&lt;66),0.01,ROUNDDOWN((E8-16)/50,0))</f>
        <v>4</v>
      </c>
      <c r="G8" s="13">
        <f>IF(AND(F8&gt;=1,F8&lt;=6),E8-F8*50-16,IF(F8=0.01,E8-16,IF(F8=0,0,IF(F8&gt;6,E8-316,0))))</f>
        <v>29</v>
      </c>
    </row>
    <row r="9" spans="1:11" ht="16.5">
      <c r="A9" s="14" t="s">
        <v>156</v>
      </c>
      <c r="B9" s="4">
        <f>VLOOKUP(A9,联盟DKP榜单!A$1:C$598,3,FALSE)-40*COUNTIF(扣分!A:A,A9)</f>
        <v>125</v>
      </c>
      <c r="C9" s="24">
        <f>50*COUNTIF(帮战总榜!A$1:AB$150,$A9)+40*COUNTIF(掠夺!A$1:AB$150,$A9)</f>
        <v>80</v>
      </c>
      <c r="D9" s="24">
        <f>20*COUNTIF(YY统计!A$2:M$150,$A9)</f>
        <v>60</v>
      </c>
      <c r="E9" s="24">
        <f>SUM(B9:D9)</f>
        <v>265</v>
      </c>
      <c r="F9" s="24">
        <f>IF(AND(E9&gt;=16,E9&lt;66),0.01,ROUNDDOWN((E9-16)/50,0))</f>
        <v>4</v>
      </c>
      <c r="G9" s="13">
        <f>IF(AND(F9&gt;=1,F9&lt;=6),E9-F9*50-16,IF(F9=0.01,E9-16,IF(F9=0,0,IF(F9&gt;6,E9-316,0))))</f>
        <v>49</v>
      </c>
    </row>
    <row r="10" spans="1:11" ht="16.5">
      <c r="A10" s="14" t="s">
        <v>550</v>
      </c>
      <c r="B10" s="4">
        <f>VLOOKUP(A10,联盟DKP榜单!A$1:C$598,3,FALSE)-40*COUNTIF(扣分!A:A,A10)</f>
        <v>115</v>
      </c>
      <c r="C10" s="24">
        <f>50*COUNTIF(帮战总榜!A$1:AB$150,$A10)+40*COUNTIF(掠夺!A$1:AB$150,$A10)</f>
        <v>80</v>
      </c>
      <c r="D10" s="24">
        <f>20*COUNTIF(YY统计!A$2:M$150,$A10)</f>
        <v>40</v>
      </c>
      <c r="E10" s="24">
        <f>SUM(B10:D10)</f>
        <v>235</v>
      </c>
      <c r="F10" s="24">
        <f>IF(AND(E10&gt;=16,E10&lt;66),0.01,ROUNDDOWN((E10-16)/50,0))</f>
        <v>4</v>
      </c>
      <c r="G10" s="13">
        <f>IF(AND(F10&gt;=1,F10&lt;=6),E10-F10*50-16,IF(F10=0.01,E10-16,IF(F10=0,0,IF(F10&gt;6,E10-316,0))))</f>
        <v>19</v>
      </c>
    </row>
    <row r="11" spans="1:11" ht="16.5">
      <c r="A11" s="14" t="s">
        <v>511</v>
      </c>
      <c r="B11" s="4">
        <f>VLOOKUP(A11,联盟DKP榜单!A$1:C$598,3,FALSE)-40*COUNTIF(扣分!A:A,A11)</f>
        <v>105</v>
      </c>
      <c r="C11" s="24">
        <f>50*COUNTIF(帮战总榜!A$1:AB$150,$A11)+40*COUNTIF(掠夺!A$1:AB$150,$A11)</f>
        <v>80</v>
      </c>
      <c r="D11" s="24">
        <f>20*COUNTIF(YY统计!A$2:M$150,$A11)</f>
        <v>60</v>
      </c>
      <c r="E11" s="24">
        <f>SUM(B11:D11)</f>
        <v>245</v>
      </c>
      <c r="F11" s="24">
        <f>IF(AND(E11&gt;=16,E11&lt;66),0.01,ROUNDDOWN((E11-16)/50,0))</f>
        <v>4</v>
      </c>
      <c r="G11" s="13">
        <f>IF(AND(F11&gt;=1,F11&lt;=6),E11-F11*50-16,IF(F11=0.01,E11-16,IF(F11=0,0,IF(F11&gt;6,E11-316,0))))</f>
        <v>29</v>
      </c>
    </row>
    <row r="12" spans="1:11" ht="16.5">
      <c r="A12" s="14" t="s">
        <v>169</v>
      </c>
      <c r="B12" s="4">
        <f>VLOOKUP(A12,联盟DKP榜单!A$1:C$598,3,FALSE)-40*COUNTIF(扣分!A:A,A12)</f>
        <v>105</v>
      </c>
      <c r="C12" s="24">
        <f>50*COUNTIF(帮战总榜!A$1:AB$150,$A12)+40*COUNTIF(掠夺!A$1:AB$150,$A12)</f>
        <v>80</v>
      </c>
      <c r="D12" s="24">
        <f>20*COUNTIF(YY统计!A$2:M$150,$A12)</f>
        <v>40</v>
      </c>
      <c r="E12" s="24">
        <f>SUM(B12:D12)</f>
        <v>225</v>
      </c>
      <c r="F12" s="24">
        <f>IF(AND(E12&gt;=16,E12&lt;66),0.01,ROUNDDOWN((E12-16)/50,0))</f>
        <v>4</v>
      </c>
      <c r="G12" s="13">
        <f>IF(AND(F12&gt;=1,F12&lt;=6),E12-F12*50-16,IF(F12=0.01,E12-16,IF(F12=0,0,IF(F12&gt;6,E12-316,0))))</f>
        <v>9</v>
      </c>
    </row>
    <row r="13" spans="1:11" ht="16.5">
      <c r="A13" s="14" t="s">
        <v>151</v>
      </c>
      <c r="B13" s="4">
        <f>VLOOKUP(A13,联盟DKP榜单!A$1:C$598,3,FALSE)-40*COUNTIF(扣分!A:A,A13)</f>
        <v>105</v>
      </c>
      <c r="C13" s="24">
        <f>50*COUNTIF(帮战总榜!A$1:AB$150,$A13)+40*COUNTIF(掠夺!A$1:AB$150,$A13)</f>
        <v>80</v>
      </c>
      <c r="D13" s="24">
        <f>20*COUNTIF(YY统计!A$2:M$150,$A13)</f>
        <v>40</v>
      </c>
      <c r="E13" s="24">
        <f>SUM(B13:D13)</f>
        <v>225</v>
      </c>
      <c r="F13" s="24">
        <f>IF(AND(E13&gt;=16,E13&lt;66),0.01,ROUNDDOWN((E13-16)/50,0))</f>
        <v>4</v>
      </c>
      <c r="G13" s="13">
        <f>IF(AND(F13&gt;=1,F13&lt;=6),E13-F13*50-16,IF(F13=0.01,E13-16,IF(F13=0,0,IF(F13&gt;6,E13-316,0))))</f>
        <v>9</v>
      </c>
    </row>
    <row r="14" spans="1:11" ht="16.5">
      <c r="A14" s="14" t="s">
        <v>154</v>
      </c>
      <c r="B14" s="4">
        <f>VLOOKUP(A14,联盟DKP榜单!A$1:C$598,3,FALSE)-40*COUNTIF(扣分!A:A,A14)</f>
        <v>90</v>
      </c>
      <c r="C14" s="24">
        <f>50*COUNTIF(帮战总榜!A$1:AB$150,$A14)+40*COUNTIF(掠夺!A$1:AB$150,$A14)</f>
        <v>80</v>
      </c>
      <c r="D14" s="24">
        <f>20*COUNTIF(YY统计!A$2:M$150,$A14)</f>
        <v>60</v>
      </c>
      <c r="E14" s="24">
        <f>SUM(B14:D14)</f>
        <v>230</v>
      </c>
      <c r="F14" s="24">
        <f>IF(AND(E14&gt;=16,E14&lt;66),0.01,ROUNDDOWN((E14-16)/50,0))</f>
        <v>4</v>
      </c>
      <c r="G14" s="13">
        <f>IF(AND(F14&gt;=1,F14&lt;=6),E14-F14*50-16,IF(F14=0.01,E14-16,IF(F14=0,0,IF(F14&gt;6,E14-316,0))))</f>
        <v>14</v>
      </c>
    </row>
    <row r="15" spans="1:11" ht="16.5">
      <c r="A15" s="14" t="s">
        <v>141</v>
      </c>
      <c r="B15" s="4">
        <f>VLOOKUP(A15,联盟DKP榜单!A$1:C$598,3,FALSE)-40*COUNTIF(扣分!A:A,A15)</f>
        <v>90</v>
      </c>
      <c r="C15" s="24">
        <f>50*COUNTIF(帮战总榜!A$1:AB$150,$A15)+40*COUNTIF(掠夺!A$1:AB$150,$A15)</f>
        <v>80</v>
      </c>
      <c r="D15" s="24">
        <f>20*COUNTIF(YY统计!A$2:M$150,$A15)</f>
        <v>80</v>
      </c>
      <c r="E15" s="24">
        <f>SUM(B15:D15)</f>
        <v>250</v>
      </c>
      <c r="F15" s="24">
        <f>IF(AND(E15&gt;=16,E15&lt;66),0.01,ROUNDDOWN((E15-16)/50,0))</f>
        <v>4</v>
      </c>
      <c r="G15" s="13">
        <f>IF(AND(F15&gt;=1,F15&lt;=6),E15-F15*50-16,IF(F15=0.01,E15-16,IF(F15=0,0,IF(F15&gt;6,E15-316,0))))</f>
        <v>34</v>
      </c>
    </row>
    <row r="16" spans="1:11" ht="16.5">
      <c r="A16" s="14" t="s">
        <v>170</v>
      </c>
      <c r="B16" s="4">
        <f>VLOOKUP(A16,联盟DKP榜单!A$1:C$598,3,FALSE)-40*COUNTIF(扣分!A:A,A16)</f>
        <v>70</v>
      </c>
      <c r="C16" s="24">
        <f>50*COUNTIF(帮战总榜!A$1:AB$150,$A16)+40*COUNTIF(掠夺!A$1:AB$150,$A16)</f>
        <v>80</v>
      </c>
      <c r="D16" s="24">
        <f>20*COUNTIF(YY统计!A$2:M$150,$A16)</f>
        <v>80</v>
      </c>
      <c r="E16" s="24">
        <f>SUM(B16:D16)</f>
        <v>230</v>
      </c>
      <c r="F16" s="24">
        <f>IF(AND(E16&gt;=16,E16&lt;66),0.01,ROUNDDOWN((E16-16)/50,0))</f>
        <v>4</v>
      </c>
      <c r="G16" s="13">
        <f>IF(AND(F16&gt;=1,F16&lt;=6),E16-F16*50-16,IF(F16=0.01,E16-16,IF(F16=0,0,IF(F16&gt;6,E16-316,0))))</f>
        <v>14</v>
      </c>
    </row>
    <row r="17" spans="1:7" ht="16.5">
      <c r="A17" s="14" t="s">
        <v>137</v>
      </c>
      <c r="B17" s="4">
        <f>VLOOKUP(A17,联盟DKP榜单!A$1:C$598,3,FALSE)-40*COUNTIF(扣分!A:A,A17)</f>
        <v>125</v>
      </c>
      <c r="C17" s="24">
        <f>50*COUNTIF(帮战总榜!A$1:AB$150,$A17)+40*COUNTIF(掠夺!A$1:AB$150,$A17)</f>
        <v>40</v>
      </c>
      <c r="D17" s="24">
        <f>20*COUNTIF(YY统计!A$2:M$150,$A17)</f>
        <v>40</v>
      </c>
      <c r="E17" s="24">
        <f>SUM(B17:D17)</f>
        <v>205</v>
      </c>
      <c r="F17" s="24">
        <f>IF(AND(E17&gt;=16,E17&lt;66),0.01,ROUNDDOWN((E17-16)/50,0))</f>
        <v>3</v>
      </c>
      <c r="G17" s="13">
        <f>IF(AND(F17&gt;=1,F17&lt;=6),E17-F17*50-16,IF(F17=0.01,E17-16,IF(F17=0,0,IF(F17&gt;6,E17-316,0))))</f>
        <v>39</v>
      </c>
    </row>
    <row r="18" spans="1:7" ht="16.5">
      <c r="A18" s="14" t="s">
        <v>183</v>
      </c>
      <c r="B18" s="4">
        <f>VLOOKUP(A18,联盟DKP榜单!A$1:C$598,3,FALSE)-40*COUNTIF(扣分!A:A,A18)</f>
        <v>106</v>
      </c>
      <c r="C18" s="24">
        <f>50*COUNTIF(帮战总榜!A$1:AB$150,$A18)+40*COUNTIF(掠夺!A$1:AB$150,$A18)</f>
        <v>40</v>
      </c>
      <c r="D18" s="24">
        <f>20*COUNTIF(YY统计!A$2:M$150,$A18)</f>
        <v>20</v>
      </c>
      <c r="E18" s="24">
        <f>SUM(B18:D18)</f>
        <v>166</v>
      </c>
      <c r="F18" s="24">
        <f>IF(AND(E18&gt;=16,E18&lt;66),0.01,ROUNDDOWN((E18-16)/50,0))</f>
        <v>3</v>
      </c>
      <c r="G18" s="13">
        <f>IF(AND(F18&gt;=1,F18&lt;=6),E18-F18*50-16,IF(F18=0.01,E18-16,IF(F18=0,0,IF(F18&gt;6,E18-316,0))))</f>
        <v>0</v>
      </c>
    </row>
    <row r="19" spans="1:7" ht="16.5">
      <c r="A19" s="14" t="s">
        <v>144</v>
      </c>
      <c r="B19" s="4">
        <f>VLOOKUP(A19,联盟DKP榜单!A$1:C$598,3,FALSE)-40*COUNTIF(扣分!A:A,A19)</f>
        <v>106</v>
      </c>
      <c r="C19" s="24">
        <f>50*COUNTIF(帮战总榜!A$1:AB$150,$A19)+40*COUNTIF(掠夺!A$1:AB$150,$A19)</f>
        <v>40</v>
      </c>
      <c r="D19" s="24">
        <f>20*COUNTIF(YY统计!A$2:M$150,$A19)</f>
        <v>60</v>
      </c>
      <c r="E19" s="24">
        <f>SUM(B19:D19)</f>
        <v>206</v>
      </c>
      <c r="F19" s="24">
        <f>IF(AND(E19&gt;=16,E19&lt;66),0.01,ROUNDDOWN((E19-16)/50,0))</f>
        <v>3</v>
      </c>
      <c r="G19" s="13">
        <f>IF(AND(F19&gt;=1,F19&lt;=6),E19-F19*50-16,IF(F19=0.01,E19-16,IF(F19=0,0,IF(F19&gt;6,E19-316,0))))</f>
        <v>40</v>
      </c>
    </row>
    <row r="20" spans="1:7" ht="16.5">
      <c r="A20" s="14" t="s">
        <v>174</v>
      </c>
      <c r="B20" s="4">
        <f>VLOOKUP(A20,联盟DKP榜单!A$1:C$598,3,FALSE)-40*COUNTIF(扣分!A:A,A20)</f>
        <v>106</v>
      </c>
      <c r="C20" s="24">
        <f>50*COUNTIF(帮战总榜!A$1:AB$150,$A20)+40*COUNTIF(掠夺!A$1:AB$150,$A20)</f>
        <v>80</v>
      </c>
      <c r="D20" s="24">
        <f>20*COUNTIF(YY统计!A$2:M$150,$A20)</f>
        <v>0</v>
      </c>
      <c r="E20" s="24">
        <f>SUM(B20:D20)</f>
        <v>186</v>
      </c>
      <c r="F20" s="24">
        <f>IF(AND(E20&gt;=16,E20&lt;66),0.01,ROUNDDOWN((E20-16)/50,0))</f>
        <v>3</v>
      </c>
      <c r="G20" s="13">
        <f>IF(AND(F20&gt;=1,F20&lt;=6),E20-F20*50-16,IF(F20=0.01,E20-16,IF(F20=0,0,IF(F20&gt;6,E20-316,0))))</f>
        <v>20</v>
      </c>
    </row>
    <row r="21" spans="1:7" ht="16.5">
      <c r="A21" s="14" t="s">
        <v>159</v>
      </c>
      <c r="B21" s="4">
        <f>VLOOKUP(A21,联盟DKP榜单!A$1:C$598,3,FALSE)-40*COUNTIF(扣分!A:A,A21)</f>
        <v>105</v>
      </c>
      <c r="C21" s="24">
        <f>50*COUNTIF(帮战总榜!A$1:AB$150,$A21)+40*COUNTIF(掠夺!A$1:AB$150,$A21)</f>
        <v>80</v>
      </c>
      <c r="D21" s="24">
        <f>20*COUNTIF(YY统计!A$2:M$150,$A21)</f>
        <v>20</v>
      </c>
      <c r="E21" s="24">
        <f>SUM(B21:D21)</f>
        <v>205</v>
      </c>
      <c r="F21" s="24">
        <f>IF(AND(E21&gt;=16,E21&lt;66),0.01,ROUNDDOWN((E21-16)/50,0))</f>
        <v>3</v>
      </c>
      <c r="G21" s="13">
        <f>IF(AND(F21&gt;=1,F21&lt;=6),E21-F21*50-16,IF(F21=0.01,E21-16,IF(F21=0,0,IF(F21&gt;6,E21-316,0))))</f>
        <v>39</v>
      </c>
    </row>
    <row r="22" spans="1:7" ht="16.5">
      <c r="A22" s="14" t="s">
        <v>153</v>
      </c>
      <c r="B22" s="4">
        <f>VLOOKUP(A22,联盟DKP榜单!A$1:C$598,3,FALSE)-40*COUNTIF(扣分!A:A,A22)</f>
        <v>105</v>
      </c>
      <c r="C22" s="24">
        <f>50*COUNTIF(帮战总榜!A$1:AB$150,$A22)+40*COUNTIF(掠夺!A$1:AB$150,$A22)</f>
        <v>80</v>
      </c>
      <c r="D22" s="24">
        <f>20*COUNTIF(YY统计!A$2:M$150,$A22)</f>
        <v>0</v>
      </c>
      <c r="E22" s="24">
        <f>SUM(B22:D22)</f>
        <v>185</v>
      </c>
      <c r="F22" s="24">
        <f>IF(AND(E22&gt;=16,E22&lt;66),0.01,ROUNDDOWN((E22-16)/50,0))</f>
        <v>3</v>
      </c>
      <c r="G22" s="13">
        <f>IF(AND(F22&gt;=1,F22&lt;=6),E22-F22*50-16,IF(F22=0.01,E22-16,IF(F22=0,0,IF(F22&gt;6,E22-316,0))))</f>
        <v>19</v>
      </c>
    </row>
    <row r="23" spans="1:7" ht="16.5">
      <c r="A23" s="14" t="s">
        <v>519</v>
      </c>
      <c r="B23" s="4">
        <f>VLOOKUP(A23,联盟DKP榜单!A$1:C$598,3,FALSE)-40*COUNTIF(扣分!A:A,A23)</f>
        <v>90</v>
      </c>
      <c r="C23" s="24">
        <f>50*COUNTIF(帮战总榜!A$1:AB$150,$A23)+40*COUNTIF(掠夺!A$1:AB$150,$A23)</f>
        <v>80</v>
      </c>
      <c r="D23" s="24">
        <f>20*COUNTIF(YY统计!A$2:M$150,$A23)</f>
        <v>0</v>
      </c>
      <c r="E23" s="24">
        <f>SUM(B23:D23)</f>
        <v>170</v>
      </c>
      <c r="F23" s="24">
        <f>IF(AND(E23&gt;=16,E23&lt;66),0.01,ROUNDDOWN((E23-16)/50,0))</f>
        <v>3</v>
      </c>
      <c r="G23" s="13">
        <f>IF(AND(F23&gt;=1,F23&lt;=6),E23-F23*50-16,IF(F23=0.01,E23-16,IF(F23=0,0,IF(F23&gt;6,E23-316,0))))</f>
        <v>4</v>
      </c>
    </row>
    <row r="24" spans="1:7" ht="16.5">
      <c r="A24" s="14" t="s">
        <v>483</v>
      </c>
      <c r="B24" s="4">
        <f>VLOOKUP(A24,联盟DKP榜单!A$1:C$598,3,FALSE)-40*COUNTIF(扣分!A:A,A24)</f>
        <v>90</v>
      </c>
      <c r="C24" s="24">
        <f>50*COUNTIF(帮战总榜!A$1:AB$150,$A24)+40*COUNTIF(掠夺!A$1:AB$150,$A24)</f>
        <v>80</v>
      </c>
      <c r="D24" s="24">
        <f>20*COUNTIF(YY统计!A$2:M$150,$A24)</f>
        <v>40</v>
      </c>
      <c r="E24" s="24">
        <f>SUM(B24:D24)</f>
        <v>210</v>
      </c>
      <c r="F24" s="24">
        <f>IF(AND(E24&gt;=16,E24&lt;66),0.01,ROUNDDOWN((E24-16)/50,0))</f>
        <v>3</v>
      </c>
      <c r="G24" s="13">
        <f>IF(AND(F24&gt;=1,F24&lt;=6),E24-F24*50-16,IF(F24=0.01,E24-16,IF(F24=0,0,IF(F24&gt;6,E24-316,0))))</f>
        <v>44</v>
      </c>
    </row>
    <row r="25" spans="1:7" ht="16.5">
      <c r="A25" s="14" t="s">
        <v>162</v>
      </c>
      <c r="B25" s="4">
        <f>VLOOKUP(A25,联盟DKP榜单!A$1:C$598,3,FALSE)-40*COUNTIF(扣分!A:A,A25)</f>
        <v>90</v>
      </c>
      <c r="C25" s="24">
        <f>50*COUNTIF(帮战总榜!A$1:AB$150,$A25)+40*COUNTIF(掠夺!A$1:AB$150,$A25)</f>
        <v>80</v>
      </c>
      <c r="D25" s="24">
        <f>20*COUNTIF(YY统计!A$2:M$150,$A25)</f>
        <v>40</v>
      </c>
      <c r="E25" s="24">
        <f>SUM(B25:D25)</f>
        <v>210</v>
      </c>
      <c r="F25" s="24">
        <f>IF(AND(E25&gt;=16,E25&lt;66),0.01,ROUNDDOWN((E25-16)/50,0))</f>
        <v>3</v>
      </c>
      <c r="G25" s="13">
        <f>IF(AND(F25&gt;=1,F25&lt;=6),E25-F25*50-16,IF(F25=0.01,E25-16,IF(F25=0,0,IF(F25&gt;6,E25-316,0))))</f>
        <v>44</v>
      </c>
    </row>
    <row r="26" spans="1:7" ht="16.5">
      <c r="A26" s="14" t="s">
        <v>173</v>
      </c>
      <c r="B26" s="4">
        <f>VLOOKUP(A26,联盟DKP榜单!A$1:C$598,3,FALSE)-40*COUNTIF(扣分!A:A,A26)</f>
        <v>90</v>
      </c>
      <c r="C26" s="24">
        <f>50*COUNTIF(帮战总榜!A$1:AB$150,$A26)+40*COUNTIF(掠夺!A$1:AB$150,$A26)</f>
        <v>80</v>
      </c>
      <c r="D26" s="24">
        <f>20*COUNTIF(YY统计!A$2:M$150,$A26)</f>
        <v>0</v>
      </c>
      <c r="E26" s="24">
        <f>SUM(B26:D26)</f>
        <v>170</v>
      </c>
      <c r="F26" s="24">
        <f>IF(AND(E26&gt;=16,E26&lt;66),0.01,ROUNDDOWN((E26-16)/50,0))</f>
        <v>3</v>
      </c>
      <c r="G26" s="13">
        <f>IF(AND(F26&gt;=1,F26&lt;=6),E26-F26*50-16,IF(F26=0.01,E26-16,IF(F26=0,0,IF(F26&gt;6,E26-316,0))))</f>
        <v>4</v>
      </c>
    </row>
    <row r="27" spans="1:7" ht="16.5">
      <c r="A27" s="14" t="s">
        <v>152</v>
      </c>
      <c r="B27" s="4">
        <f>VLOOKUP(A27,联盟DKP榜单!A$1:C$598,3,FALSE)-40*COUNTIF(扣分!A:A,A27)</f>
        <v>73</v>
      </c>
      <c r="C27" s="24">
        <f>50*COUNTIF(帮战总榜!A$1:AB$150,$A27)+40*COUNTIF(掠夺!A$1:AB$150,$A27)</f>
        <v>80</v>
      </c>
      <c r="D27" s="24">
        <f>20*COUNTIF(YY统计!A$2:M$150,$A27)</f>
        <v>60</v>
      </c>
      <c r="E27" s="24">
        <f>SUM(B27:D27)</f>
        <v>213</v>
      </c>
      <c r="F27" s="24">
        <f>IF(AND(E27&gt;=16,E27&lt;66),0.01,ROUNDDOWN((E27-16)/50,0))</f>
        <v>3</v>
      </c>
      <c r="G27" s="13">
        <f>IF(AND(F27&gt;=1,F27&lt;=6),E27-F27*50-16,IF(F27=0.01,E27-16,IF(F27=0,0,IF(F27&gt;6,E27-316,0))))</f>
        <v>47</v>
      </c>
    </row>
    <row r="28" spans="1:7" ht="16.5">
      <c r="A28" s="14" t="s">
        <v>148</v>
      </c>
      <c r="B28" s="4">
        <f>VLOOKUP(A28,联盟DKP榜单!A$1:C$598,3,FALSE)-40*COUNTIF(扣分!A:A,A28)</f>
        <v>72</v>
      </c>
      <c r="C28" s="24">
        <f>50*COUNTIF(帮战总榜!A$1:AB$150,$A28)+40*COUNTIF(掠夺!A$1:AB$150,$A28)</f>
        <v>80</v>
      </c>
      <c r="D28" s="24">
        <f>20*COUNTIF(YY统计!A$2:M$150,$A28)</f>
        <v>40</v>
      </c>
      <c r="E28" s="24">
        <f>SUM(B28:D28)</f>
        <v>192</v>
      </c>
      <c r="F28" s="24">
        <f>IF(AND(E28&gt;=16,E28&lt;66),0.01,ROUNDDOWN((E28-16)/50,0))</f>
        <v>3</v>
      </c>
      <c r="G28" s="13">
        <f>IF(AND(F28&gt;=1,F28&lt;=6),E28-F28*50-16,IF(F28=0.01,E28-16,IF(F28=0,0,IF(F28&gt;6,E28-316,0))))</f>
        <v>26</v>
      </c>
    </row>
    <row r="29" spans="1:7" ht="16.5">
      <c r="A29" s="14" t="s">
        <v>146</v>
      </c>
      <c r="B29" s="4">
        <f>VLOOKUP(A29,联盟DKP榜单!A$1:C$598,3,FALSE)-40*COUNTIF(扣分!A:A,A29)</f>
        <v>70</v>
      </c>
      <c r="C29" s="24">
        <f>50*COUNTIF(帮战总榜!A$1:AB$150,$A29)+40*COUNTIF(掠夺!A$1:AB$150,$A29)</f>
        <v>80</v>
      </c>
      <c r="D29" s="24">
        <f>20*COUNTIF(YY统计!A$2:M$150,$A29)</f>
        <v>40</v>
      </c>
      <c r="E29" s="24">
        <f>SUM(B29:D29)</f>
        <v>190</v>
      </c>
      <c r="F29" s="24">
        <f>IF(AND(E29&gt;=16,E29&lt;66),0.01,ROUNDDOWN((E29-16)/50,0))</f>
        <v>3</v>
      </c>
      <c r="G29" s="13">
        <f>IF(AND(F29&gt;=1,F29&lt;=6),E29-F29*50-16,IF(F29=0.01,E29-16,IF(F29=0,0,IF(F29&gt;6,E29-316,0))))</f>
        <v>24</v>
      </c>
    </row>
    <row r="30" spans="1:7" ht="16.5">
      <c r="A30" s="14" t="s">
        <v>486</v>
      </c>
      <c r="B30" s="4">
        <f>VLOOKUP(A30,联盟DKP榜单!A$1:C$598,3,FALSE)-40*COUNTIF(扣分!A:A,A30)</f>
        <v>70</v>
      </c>
      <c r="C30" s="24">
        <f>50*COUNTIF(帮战总榜!A$1:AB$150,$A30)+40*COUNTIF(掠夺!A$1:AB$150,$A30)</f>
        <v>80</v>
      </c>
      <c r="D30" s="24">
        <f>20*COUNTIF(YY统计!A$2:M$150,$A30)</f>
        <v>60</v>
      </c>
      <c r="E30" s="24">
        <f>SUM(B30:D30)</f>
        <v>210</v>
      </c>
      <c r="F30" s="24">
        <f>IF(AND(E30&gt;=16,E30&lt;66),0.01,ROUNDDOWN((E30-16)/50,0))</f>
        <v>3</v>
      </c>
      <c r="G30" s="13">
        <f>IF(AND(F30&gt;=1,F30&lt;=6),E30-F30*50-16,IF(F30=0.01,E30-16,IF(F30=0,0,IF(F30&gt;6,E30-316,0))))</f>
        <v>44</v>
      </c>
    </row>
    <row r="31" spans="1:7" ht="16.5">
      <c r="A31" s="14" t="s">
        <v>157</v>
      </c>
      <c r="B31" s="4">
        <f>VLOOKUP(A31,联盟DKP榜单!A$1:C$598,3,FALSE)-40*COUNTIF(扣分!A:A,A31)</f>
        <v>70</v>
      </c>
      <c r="C31" s="24">
        <f>50*COUNTIF(帮战总榜!A$1:AB$150,$A31)+40*COUNTIF(掠夺!A$1:AB$150,$A31)</f>
        <v>80</v>
      </c>
      <c r="D31" s="24">
        <f>20*COUNTIF(YY统计!A$2:M$150,$A31)</f>
        <v>60</v>
      </c>
      <c r="E31" s="24">
        <f>SUM(B31:D31)</f>
        <v>210</v>
      </c>
      <c r="F31" s="24">
        <f>IF(AND(E31&gt;=16,E31&lt;66),0.01,ROUNDDOWN((E31-16)/50,0))</f>
        <v>3</v>
      </c>
      <c r="G31" s="13">
        <f>IF(AND(F31&gt;=1,F31&lt;=6),E31-F31*50-16,IF(F31=0.01,E31-16,IF(F31=0,0,IF(F31&gt;6,E31-316,0))))</f>
        <v>44</v>
      </c>
    </row>
    <row r="32" spans="1:7" ht="16.5">
      <c r="A32" s="14" t="s">
        <v>140</v>
      </c>
      <c r="B32" s="4">
        <f>VLOOKUP(A32,联盟DKP榜单!A$1:C$598,3,FALSE)-40*COUNTIF(扣分!A:A,A32)</f>
        <v>125</v>
      </c>
      <c r="C32" s="24">
        <f>50*COUNTIF(帮战总榜!A$1:AB$150,$A32)+40*COUNTIF(掠夺!A$1:AB$150,$A32)</f>
        <v>0</v>
      </c>
      <c r="D32" s="24">
        <f>20*COUNTIF(YY统计!A$2:M$150,$A32)</f>
        <v>20</v>
      </c>
      <c r="E32" s="24">
        <f>SUM(B32:D32)</f>
        <v>145</v>
      </c>
      <c r="F32" s="24">
        <f>IF(AND(E32&gt;=16,E32&lt;66),0.01,ROUNDDOWN((E32-16)/50,0))</f>
        <v>2</v>
      </c>
      <c r="G32" s="13">
        <f>IF(AND(F32&gt;=1,F32&lt;=6),E32-F32*50-16,IF(F32=0.01,E32-16,IF(F32=0,0,IF(F32&gt;6,E32-316,0))))</f>
        <v>29</v>
      </c>
    </row>
    <row r="33" spans="1:7" ht="16.5">
      <c r="A33" s="14" t="s">
        <v>177</v>
      </c>
      <c r="B33" s="4">
        <f>VLOOKUP(A33,联盟DKP榜单!A$1:C$598,3,FALSE)-40*COUNTIF(扣分!A:A,A33)</f>
        <v>125</v>
      </c>
      <c r="C33" s="24">
        <f>50*COUNTIF(帮战总榜!A$1:AB$150,$A33)+40*COUNTIF(掠夺!A$1:AB$150,$A33)</f>
        <v>0</v>
      </c>
      <c r="D33" s="24">
        <f>20*COUNTIF(YY统计!A$2:M$150,$A33)</f>
        <v>20</v>
      </c>
      <c r="E33" s="24">
        <f>SUM(B33:D33)</f>
        <v>145</v>
      </c>
      <c r="F33" s="24">
        <f>IF(AND(E33&gt;=16,E33&lt;66),0.01,ROUNDDOWN((E33-16)/50,0))</f>
        <v>2</v>
      </c>
      <c r="G33" s="13">
        <f>IF(AND(F33&gt;=1,F33&lt;=6),E33-F33*50-16,IF(F33=0.01,E33-16,IF(F33=0,0,IF(F33&gt;6,E33-316,0))))</f>
        <v>29</v>
      </c>
    </row>
    <row r="34" spans="1:7" ht="16.5">
      <c r="A34" s="14" t="s">
        <v>193</v>
      </c>
      <c r="B34" s="4">
        <f>VLOOKUP(A34,联盟DKP榜单!A$1:C$598,3,FALSE)-40*COUNTIF(扣分!A:A,A34)</f>
        <v>105</v>
      </c>
      <c r="C34" s="24">
        <f>50*COUNTIF(帮战总榜!A$1:AB$150,$A34)+40*COUNTIF(掠夺!A$1:AB$150,$A34)</f>
        <v>40</v>
      </c>
      <c r="D34" s="24">
        <f>20*COUNTIF(YY统计!A$2:M$150,$A34)</f>
        <v>20</v>
      </c>
      <c r="E34" s="24">
        <f>SUM(B34:D34)</f>
        <v>165</v>
      </c>
      <c r="F34" s="24">
        <f>IF(AND(E34&gt;=16,E34&lt;66),0.01,ROUNDDOWN((E34-16)/50,0))</f>
        <v>2</v>
      </c>
      <c r="G34" s="13">
        <f>IF(AND(F34&gt;=1,F34&lt;=6),E34-F34*50-16,IF(F34=0.01,E34-16,IF(F34=0,0,IF(F34&gt;6,E34-316,0))))</f>
        <v>49</v>
      </c>
    </row>
    <row r="35" spans="1:7" ht="16.5">
      <c r="A35" s="14" t="s">
        <v>485</v>
      </c>
      <c r="B35" s="4">
        <f>VLOOKUP(A35,联盟DKP榜单!A$1:C$598,3,FALSE)-40*COUNTIF(扣分!A:A,A35)</f>
        <v>71</v>
      </c>
      <c r="C35" s="24">
        <f>50*COUNTIF(帮战总榜!A$1:AB$150,$A35)+40*COUNTIF(掠夺!A$1:AB$150,$A35)</f>
        <v>80</v>
      </c>
      <c r="D35" s="24">
        <f>20*COUNTIF(YY统计!A$2:M$150,$A35)</f>
        <v>0</v>
      </c>
      <c r="E35" s="24">
        <f>SUM(B35:D35)</f>
        <v>151</v>
      </c>
      <c r="F35" s="24">
        <f>IF(AND(E35&gt;=16,E35&lt;66),0.01,ROUNDDOWN((E35-16)/50,0))</f>
        <v>2</v>
      </c>
      <c r="G35" s="13">
        <f>IF(AND(F35&gt;=1,F35&lt;=6),E35-F35*50-16,IF(F35=0.01,E35-16,IF(F35=0,0,IF(F35&gt;6,E35-316,0))))</f>
        <v>35</v>
      </c>
    </row>
    <row r="36" spans="1:7" ht="16.5">
      <c r="A36" s="14" t="s">
        <v>179</v>
      </c>
      <c r="B36" s="4">
        <f>VLOOKUP(A36,联盟DKP榜单!A$1:C$598,3,FALSE)-40*COUNTIF(扣分!A:A,A36)</f>
        <v>70</v>
      </c>
      <c r="C36" s="24">
        <f>50*COUNTIF(帮战总榜!A$1:AB$150,$A36)+40*COUNTIF(掠夺!A$1:AB$150,$A36)</f>
        <v>40</v>
      </c>
      <c r="D36" s="24">
        <f>20*COUNTIF(YY统计!A$2:M$150,$A36)</f>
        <v>20</v>
      </c>
      <c r="E36" s="24">
        <f>SUM(B36:D36)</f>
        <v>130</v>
      </c>
      <c r="F36" s="24">
        <f>IF(AND(E36&gt;=16,E36&lt;66),0.01,ROUNDDOWN((E36-16)/50,0))</f>
        <v>2</v>
      </c>
      <c r="G36" s="13">
        <f>IF(AND(F36&gt;=1,F36&lt;=6),E36-F36*50-16,IF(F36=0.01,E36-16,IF(F36=0,0,IF(F36&gt;6,E36-316,0))))</f>
        <v>14</v>
      </c>
    </row>
    <row r="37" spans="1:7" ht="16.5">
      <c r="A37" s="14" t="s">
        <v>164</v>
      </c>
      <c r="B37" s="4">
        <f>VLOOKUP(A37,联盟DKP榜单!A$1:C$598,3,FALSE)-40*COUNTIF(扣分!A:A,A37)</f>
        <v>70</v>
      </c>
      <c r="C37" s="24">
        <f>50*COUNTIF(帮战总榜!A$1:AB$150,$A37)+40*COUNTIF(掠夺!A$1:AB$150,$A37)</f>
        <v>40</v>
      </c>
      <c r="D37" s="24">
        <f>20*COUNTIF(YY统计!A$2:M$150,$A37)</f>
        <v>20</v>
      </c>
      <c r="E37" s="24">
        <f>SUM(B37:D37)</f>
        <v>130</v>
      </c>
      <c r="F37" s="24">
        <f>IF(AND(E37&gt;=16,E37&lt;66),0.01,ROUNDDOWN((E37-16)/50,0))</f>
        <v>2</v>
      </c>
      <c r="G37" s="13">
        <f>IF(AND(F37&gt;=1,F37&lt;=6),E37-F37*50-16,IF(F37=0.01,E37-16,IF(F37=0,0,IF(F37&gt;6,E37-316,0))))</f>
        <v>14</v>
      </c>
    </row>
    <row r="38" spans="1:7" ht="16.5">
      <c r="A38" s="14" t="s">
        <v>335</v>
      </c>
      <c r="B38" s="4">
        <f>VLOOKUP(A38,联盟DKP榜单!A$1:C$598,3,FALSE)-40*COUNTIF(扣分!A:A,A38)</f>
        <v>70</v>
      </c>
      <c r="C38" s="24">
        <f>50*COUNTIF(帮战总榜!A$1:AB$150,$A38)+40*COUNTIF(掠夺!A$1:AB$150,$A38)</f>
        <v>40</v>
      </c>
      <c r="D38" s="24">
        <f>20*COUNTIF(YY统计!A$2:M$150,$A38)</f>
        <v>20</v>
      </c>
      <c r="E38" s="24">
        <f>SUM(B38:D38)</f>
        <v>130</v>
      </c>
      <c r="F38" s="24">
        <f>IF(AND(E38&gt;=16,E38&lt;66),0.01,ROUNDDOWN((E38-16)/50,0))</f>
        <v>2</v>
      </c>
      <c r="G38" s="13">
        <f>IF(AND(F38&gt;=1,F38&lt;=6),E38-F38*50-16,IF(F38=0.01,E38-16,IF(F38=0,0,IF(F38&gt;6,E38-316,0))))</f>
        <v>14</v>
      </c>
    </row>
    <row r="39" spans="1:7" ht="16.5">
      <c r="A39" s="14" t="s">
        <v>185</v>
      </c>
      <c r="B39" s="4">
        <f>VLOOKUP(A39,联盟DKP榜单!A$1:C$598,3,FALSE)-40*COUNTIF(扣分!A:A,A39)</f>
        <v>70</v>
      </c>
      <c r="C39" s="24">
        <f>50*COUNTIF(帮战总榜!A$1:AB$150,$A39)+40*COUNTIF(掠夺!A$1:AB$150,$A39)</f>
        <v>40</v>
      </c>
      <c r="D39" s="24">
        <f>20*COUNTIF(YY统计!A$2:M$150,$A39)</f>
        <v>20</v>
      </c>
      <c r="E39" s="24">
        <f>SUM(B39:D39)</f>
        <v>130</v>
      </c>
      <c r="F39" s="24">
        <f>IF(AND(E39&gt;=16,E39&lt;66),0.01,ROUNDDOWN((E39-16)/50,0))</f>
        <v>2</v>
      </c>
      <c r="G39" s="13">
        <f>IF(AND(F39&gt;=1,F39&lt;=6),E39-F39*50-16,IF(F39=0.01,E39-16,IF(F39=0,0,IF(F39&gt;6,E39-316,0))))</f>
        <v>14</v>
      </c>
    </row>
    <row r="40" spans="1:7" ht="16.5">
      <c r="A40" s="14" t="s">
        <v>158</v>
      </c>
      <c r="B40" s="4">
        <f>VLOOKUP(A40,联盟DKP榜单!A$1:C$598,3,FALSE)-40*COUNTIF(扣分!A:A,A40)</f>
        <v>0</v>
      </c>
      <c r="C40" s="24">
        <f>50*COUNTIF(帮战总榜!A$1:AB$150,$A40)+40*COUNTIF(掠夺!A$1:AB$150,$A40)</f>
        <v>80</v>
      </c>
      <c r="D40" s="24">
        <f>20*COUNTIF(YY统计!A$2:M$150,$A40)</f>
        <v>40</v>
      </c>
      <c r="E40" s="24">
        <f>SUM(B40:D40)</f>
        <v>120</v>
      </c>
      <c r="F40" s="24">
        <f>IF(AND(E40&gt;=16,E40&lt;66),0.01,ROUNDDOWN((E40-16)/50,0))</f>
        <v>2</v>
      </c>
      <c r="G40" s="13">
        <f>IF(AND(F40&gt;=1,F40&lt;=6),E40-F40*50-16,IF(F40=0.01,E40-16,IF(F40=0,0,IF(F40&gt;6,E40-316,0))))</f>
        <v>4</v>
      </c>
    </row>
    <row r="41" spans="1:7" ht="16.5">
      <c r="A41" s="14" t="s">
        <v>171</v>
      </c>
      <c r="B41" s="4">
        <f>VLOOKUP(A41,联盟DKP榜单!A$1:C$598,3,FALSE)-40*COUNTIF(扣分!A:A,A41)</f>
        <v>0</v>
      </c>
      <c r="C41" s="24">
        <f>50*COUNTIF(帮战总榜!A$1:AB$150,$A41)+40*COUNTIF(掠夺!A$1:AB$150,$A41)</f>
        <v>80</v>
      </c>
      <c r="D41" s="24">
        <f>20*COUNTIF(YY统计!A$2:M$150,$A41)</f>
        <v>40</v>
      </c>
      <c r="E41" s="24">
        <f>SUM(B41:D41)</f>
        <v>120</v>
      </c>
      <c r="F41" s="24">
        <f>IF(AND(E41&gt;=16,E41&lt;66),0.01,ROUNDDOWN((E41-16)/50,0))</f>
        <v>2</v>
      </c>
      <c r="G41" s="13">
        <f>IF(AND(F41&gt;=1,F41&lt;=6),E41-F41*50-16,IF(F41=0.01,E41-16,IF(F41=0,0,IF(F41&gt;6,E41-316,0))))</f>
        <v>4</v>
      </c>
    </row>
    <row r="42" spans="1:7" ht="16.5">
      <c r="A42" s="14" t="s">
        <v>237</v>
      </c>
      <c r="B42" s="4">
        <f>VLOOKUP(A42,联盟DKP榜单!A$1:C$598,3,FALSE)-40*COUNTIF(扣分!A:A,A42)</f>
        <v>76</v>
      </c>
      <c r="C42" s="24">
        <f>50*COUNTIF(帮战总榜!A$1:AB$150,$A42)+40*COUNTIF(掠夺!A$1:AB$150,$A42)</f>
        <v>0</v>
      </c>
      <c r="D42" s="24">
        <f>20*COUNTIF(YY统计!A$2:M$150,$A42)</f>
        <v>0</v>
      </c>
      <c r="E42" s="24">
        <f>SUM(B42:D42)</f>
        <v>76</v>
      </c>
      <c r="F42" s="24">
        <f>IF(AND(E42&gt;=16,E42&lt;66),0.01,ROUNDDOWN((E42-16)/50,0))</f>
        <v>1</v>
      </c>
      <c r="G42" s="13">
        <f>IF(AND(F42&gt;=1,F42&lt;=6),E42-F42*50-16,IF(F42=0.01,E42-16,IF(F42=0,0,IF(F42&gt;6,E42-316,0))))</f>
        <v>10</v>
      </c>
    </row>
    <row r="43" spans="1:7" ht="16.5">
      <c r="A43" s="14" t="s">
        <v>165</v>
      </c>
      <c r="B43" s="4">
        <f>VLOOKUP(A43,联盟DKP榜单!A$1:C$598,3,FALSE)-40*COUNTIF(扣分!A:A,A43)</f>
        <v>73</v>
      </c>
      <c r="C43" s="24">
        <f>50*COUNTIF(帮战总榜!A$1:AB$150,$A43)+40*COUNTIF(掠夺!A$1:AB$150,$A43)</f>
        <v>0</v>
      </c>
      <c r="D43" s="24">
        <f>20*COUNTIF(YY统计!A$2:M$150,$A43)</f>
        <v>0</v>
      </c>
      <c r="E43" s="24">
        <f>SUM(B43:D43)</f>
        <v>73</v>
      </c>
      <c r="F43" s="24">
        <f>IF(AND(E43&gt;=16,E43&lt;66),0.01,ROUNDDOWN((E43-16)/50,0))</f>
        <v>1</v>
      </c>
      <c r="G43" s="13">
        <f>IF(AND(F43&gt;=1,F43&lt;=6),E43-F43*50-16,IF(F43=0.01,E43-16,IF(F43=0,0,IF(F43&gt;6,E43-316,0))))</f>
        <v>7</v>
      </c>
    </row>
    <row r="44" spans="1:7" ht="16.5">
      <c r="A44" s="14" t="s">
        <v>172</v>
      </c>
      <c r="B44" s="4">
        <f>VLOOKUP(A44,联盟DKP榜单!A$1:C$598,3,FALSE)-40*COUNTIF(扣分!A:A,A44)</f>
        <v>70</v>
      </c>
      <c r="C44" s="24">
        <f>50*COUNTIF(帮战总榜!A$1:AB$150,$A44)+40*COUNTIF(掠夺!A$1:AB$150,$A44)</f>
        <v>40</v>
      </c>
      <c r="D44" s="24">
        <f>20*COUNTIF(YY统计!A$2:M$150,$A44)</f>
        <v>0</v>
      </c>
      <c r="E44" s="24">
        <f>SUM(B44:D44)</f>
        <v>110</v>
      </c>
      <c r="F44" s="24">
        <f>IF(AND(E44&gt;=16,E44&lt;66),0.01,ROUNDDOWN((E44-16)/50,0))</f>
        <v>1</v>
      </c>
      <c r="G44" s="13">
        <f>IF(AND(F44&gt;=1,F44&lt;=6),E44-F44*50-16,IF(F44=0.01,E44-16,IF(F44=0,0,IF(F44&gt;6,E44-316,0))))</f>
        <v>44</v>
      </c>
    </row>
    <row r="45" spans="1:7" ht="16.5">
      <c r="A45" s="14" t="s">
        <v>243</v>
      </c>
      <c r="B45" s="4">
        <f>VLOOKUP(A45,联盟DKP榜单!A$1:C$598,3,FALSE)-40*COUNTIF(扣分!A:A,A45)</f>
        <v>70</v>
      </c>
      <c r="C45" s="24">
        <f>50*COUNTIF(帮战总榜!A$1:AB$150,$A45)+40*COUNTIF(掠夺!A$1:AB$150,$A45)</f>
        <v>0</v>
      </c>
      <c r="D45" s="24">
        <f>20*COUNTIF(YY统计!A$2:M$150,$A45)</f>
        <v>20</v>
      </c>
      <c r="E45" s="24">
        <f>SUM(B45:D45)</f>
        <v>90</v>
      </c>
      <c r="F45" s="24">
        <f>IF(AND(E45&gt;=16,E45&lt;66),0.01,ROUNDDOWN((E45-16)/50,0))</f>
        <v>1</v>
      </c>
      <c r="G45" s="13">
        <f>IF(AND(F45&gt;=1,F45&lt;=6),E45-F45*50-16,IF(F45=0.01,E45-16,IF(F45=0,0,IF(F45&gt;6,E45-316,0))))</f>
        <v>24</v>
      </c>
    </row>
    <row r="46" spans="1:7" ht="16.5">
      <c r="A46" s="14" t="s">
        <v>181</v>
      </c>
      <c r="B46" s="4">
        <f>VLOOKUP(A46,联盟DKP榜单!A$1:C$598,3,FALSE)-40*COUNTIF(扣分!A:A,A46)</f>
        <v>70</v>
      </c>
      <c r="C46" s="24">
        <f>50*COUNTIF(帮战总榜!A$1:AB$150,$A46)+40*COUNTIF(掠夺!A$1:AB$150,$A46)</f>
        <v>0</v>
      </c>
      <c r="D46" s="24">
        <f>20*COUNTIF(YY统计!A$2:M$150,$A46)</f>
        <v>0</v>
      </c>
      <c r="E46" s="24">
        <f>SUM(B46:D46)</f>
        <v>70</v>
      </c>
      <c r="F46" s="24">
        <f>IF(AND(E46&gt;=16,E46&lt;66),0.01,ROUNDDOWN((E46-16)/50,0))</f>
        <v>1</v>
      </c>
      <c r="G46" s="13">
        <f>IF(AND(F46&gt;=1,F46&lt;=6),E46-F46*50-16,IF(F46=0.01,E46-16,IF(F46=0,0,IF(F46&gt;6,E46-316,0))))</f>
        <v>4</v>
      </c>
    </row>
    <row r="47" spans="1:7" ht="16.5">
      <c r="A47" s="14" t="s">
        <v>206</v>
      </c>
      <c r="B47" s="4">
        <f>VLOOKUP(A47,联盟DKP榜单!A$1:C$598,3,FALSE)-40*COUNTIF(扣分!A:A,A47)</f>
        <v>70</v>
      </c>
      <c r="C47" s="24">
        <f>50*COUNTIF(帮战总榜!A$1:AB$150,$A47)+40*COUNTIF(掠夺!A$1:AB$150,$A47)</f>
        <v>0</v>
      </c>
      <c r="D47" s="24">
        <f>20*COUNTIF(YY统计!A$2:M$150,$A47)</f>
        <v>0</v>
      </c>
      <c r="E47" s="24">
        <f>SUM(B47:D47)</f>
        <v>70</v>
      </c>
      <c r="F47" s="24">
        <f>IF(AND(E47&gt;=16,E47&lt;66),0.01,ROUNDDOWN((E47-16)/50,0))</f>
        <v>1</v>
      </c>
      <c r="G47" s="13">
        <f>IF(AND(F47&gt;=1,F47&lt;=6),E47-F47*50-16,IF(F47=0.01,E47-16,IF(F47=0,0,IF(F47&gt;6,E47-316,0))))</f>
        <v>4</v>
      </c>
    </row>
    <row r="48" spans="1:7" ht="16.5">
      <c r="A48" s="14" t="s">
        <v>187</v>
      </c>
      <c r="B48" s="4">
        <f>VLOOKUP(A48,联盟DKP榜单!A$1:C$598,3,FALSE)-40*COUNTIF(扣分!A:A,A48)</f>
        <v>70</v>
      </c>
      <c r="C48" s="24">
        <f>50*COUNTIF(帮战总榜!A$1:AB$150,$A48)+40*COUNTIF(掠夺!A$1:AB$150,$A48)</f>
        <v>0</v>
      </c>
      <c r="D48" s="24">
        <f>20*COUNTIF(YY统计!A$2:M$150,$A48)</f>
        <v>0</v>
      </c>
      <c r="E48" s="24">
        <f>SUM(B48:D48)</f>
        <v>70</v>
      </c>
      <c r="F48" s="24">
        <f>IF(AND(E48&gt;=16,E48&lt;66),0.01,ROUNDDOWN((E48-16)/50,0))</f>
        <v>1</v>
      </c>
      <c r="G48" s="13">
        <f>IF(AND(F48&gt;=1,F48&lt;=6),E48-F48*50-16,IF(F48=0.01,E48-16,IF(F48=0,0,IF(F48&gt;6,E48-316,0))))</f>
        <v>4</v>
      </c>
    </row>
    <row r="49" spans="1:7" ht="16.5">
      <c r="A49" s="14" t="s">
        <v>180</v>
      </c>
      <c r="B49" s="4">
        <f>VLOOKUP(A49,联盟DKP榜单!A$1:C$598,3,FALSE)-40*COUNTIF(扣分!A:A,A49)</f>
        <v>70</v>
      </c>
      <c r="C49" s="24">
        <f>50*COUNTIF(帮战总榜!A$1:AB$150,$A49)+40*COUNTIF(掠夺!A$1:AB$150,$A49)</f>
        <v>40</v>
      </c>
      <c r="D49" s="24">
        <f>20*COUNTIF(YY统计!A$2:M$150,$A49)</f>
        <v>0</v>
      </c>
      <c r="E49" s="24">
        <f>SUM(B49:D49)</f>
        <v>110</v>
      </c>
      <c r="F49" s="24">
        <f>IF(AND(E49&gt;=16,E49&lt;66),0.01,ROUNDDOWN((E49-16)/50,0))</f>
        <v>1</v>
      </c>
      <c r="G49" s="13">
        <f>IF(AND(F49&gt;=1,F49&lt;=6),E49-F49*50-16,IF(F49=0.01,E49-16,IF(F49=0,0,IF(F49&gt;6,E49-316,0))))</f>
        <v>44</v>
      </c>
    </row>
    <row r="50" spans="1:7" ht="16.5">
      <c r="A50" s="14" t="s">
        <v>213</v>
      </c>
      <c r="B50" s="4">
        <f>VLOOKUP(A50,联盟DKP榜单!A$1:C$598,3,FALSE)-40*COUNTIF(扣分!A:A,A50)</f>
        <v>70</v>
      </c>
      <c r="C50" s="24">
        <f>50*COUNTIF(帮战总榜!A$1:AB$150,$A50)+40*COUNTIF(掠夺!A$1:AB$150,$A50)</f>
        <v>0</v>
      </c>
      <c r="D50" s="24">
        <f>20*COUNTIF(YY统计!A$2:M$150,$A50)</f>
        <v>0</v>
      </c>
      <c r="E50" s="24">
        <f>SUM(B50:D50)</f>
        <v>70</v>
      </c>
      <c r="F50" s="24">
        <f>IF(AND(E50&gt;=16,E50&lt;66),0.01,ROUNDDOWN((E50-16)/50,0))</f>
        <v>1</v>
      </c>
      <c r="G50" s="13">
        <f>IF(AND(F50&gt;=1,F50&lt;=6),E50-F50*50-16,IF(F50=0.01,E50-16,IF(F50=0,0,IF(F50&gt;6,E50-316,0))))</f>
        <v>4</v>
      </c>
    </row>
    <row r="51" spans="1:7" ht="16.5">
      <c r="A51" s="14" t="s">
        <v>488</v>
      </c>
      <c r="B51" s="4">
        <f>VLOOKUP(A51,联盟DKP榜单!A$1:C$598,3,FALSE)-40*COUNTIF(扣分!A:A,A51)</f>
        <v>70</v>
      </c>
      <c r="C51" s="24">
        <f>50*COUNTIF(帮战总榜!A$1:AB$150,$A51)+40*COUNTIF(掠夺!A$1:AB$150,$A51)</f>
        <v>40</v>
      </c>
      <c r="D51" s="24">
        <f>20*COUNTIF(YY统计!A$2:M$150,$A51)</f>
        <v>0</v>
      </c>
      <c r="E51" s="24">
        <f>SUM(B51:D51)</f>
        <v>110</v>
      </c>
      <c r="F51" s="24">
        <f>IF(AND(E51&gt;=16,E51&lt;66),0.01,ROUNDDOWN((E51-16)/50,0))</f>
        <v>1</v>
      </c>
      <c r="G51" s="13">
        <f>IF(AND(F51&gt;=1,F51&lt;=6),E51-F51*50-16,IF(F51=0.01,E51-16,IF(F51=0,0,IF(F51&gt;6,E51-316,0))))</f>
        <v>44</v>
      </c>
    </row>
    <row r="52" spans="1:7" ht="16.5">
      <c r="A52" s="14" t="s">
        <v>217</v>
      </c>
      <c r="B52" s="4">
        <f>VLOOKUP(A52,联盟DKP榜单!A$1:C$598,3,FALSE)-40*COUNTIF(扣分!A:A,A52)</f>
        <v>70</v>
      </c>
      <c r="C52" s="24">
        <f>50*COUNTIF(帮战总榜!A$1:AB$150,$A52)+40*COUNTIF(掠夺!A$1:AB$150,$A52)</f>
        <v>0</v>
      </c>
      <c r="D52" s="24">
        <f>20*COUNTIF(YY统计!A$2:M$150,$A52)</f>
        <v>0</v>
      </c>
      <c r="E52" s="24">
        <f>SUM(B52:D52)</f>
        <v>70</v>
      </c>
      <c r="F52" s="24">
        <f>IF(AND(E52&gt;=16,E52&lt;66),0.01,ROUNDDOWN((E52-16)/50,0))</f>
        <v>1</v>
      </c>
      <c r="G52" s="13">
        <f>IF(AND(F52&gt;=1,F52&lt;=6),E52-F52*50-16,IF(F52=0.01,E52-16,IF(F52=0,0,IF(F52&gt;6,E52-316,0))))</f>
        <v>4</v>
      </c>
    </row>
    <row r="53" spans="1:7" ht="16.5">
      <c r="A53" s="14" t="s">
        <v>194</v>
      </c>
      <c r="B53" s="4">
        <f>VLOOKUP(A53,联盟DKP榜单!A$1:C$598,3,FALSE)-40*COUNTIF(扣分!A:A,A53)</f>
        <v>70</v>
      </c>
      <c r="C53" s="24">
        <f>50*COUNTIF(帮战总榜!A$1:AB$150,$A53)+40*COUNTIF(掠夺!A$1:AB$150,$A53)</f>
        <v>0</v>
      </c>
      <c r="D53" s="24">
        <f>20*COUNTIF(YY统计!A$2:M$150,$A53)</f>
        <v>0</v>
      </c>
      <c r="E53" s="24">
        <f>SUM(B53:D53)</f>
        <v>70</v>
      </c>
      <c r="F53" s="24">
        <f>IF(AND(E53&gt;=16,E53&lt;66),0.01,ROUNDDOWN((E53-16)/50,0))</f>
        <v>1</v>
      </c>
      <c r="G53" s="13">
        <f>IF(AND(F53&gt;=1,F53&lt;=6),E53-F53*50-16,IF(F53=0.01,E53-16,IF(F53=0,0,IF(F53&gt;6,E53-316,0))))</f>
        <v>4</v>
      </c>
    </row>
    <row r="54" spans="1:7" ht="16.5">
      <c r="A54" s="14" t="s">
        <v>196</v>
      </c>
      <c r="B54" s="4">
        <f>VLOOKUP(A54,联盟DKP榜单!A$1:C$598,3,FALSE)-40*COUNTIF(扣分!A:A,A54)</f>
        <v>70</v>
      </c>
      <c r="C54" s="24">
        <f>50*COUNTIF(帮战总榜!A$1:AB$150,$A54)+40*COUNTIF(掠夺!A$1:AB$150,$A54)</f>
        <v>0</v>
      </c>
      <c r="D54" s="24">
        <f>20*COUNTIF(YY统计!A$2:M$150,$A54)</f>
        <v>0</v>
      </c>
      <c r="E54" s="24">
        <f>SUM(B54:D54)</f>
        <v>70</v>
      </c>
      <c r="F54" s="24">
        <f>IF(AND(E54&gt;=16,E54&lt;66),0.01,ROUNDDOWN((E54-16)/50,0))</f>
        <v>1</v>
      </c>
      <c r="G54" s="13">
        <f>IF(AND(F54&gt;=1,F54&lt;=6),E54-F54*50-16,IF(F54=0.01,E54-16,IF(F54=0,0,IF(F54&gt;6,E54-316,0))))</f>
        <v>4</v>
      </c>
    </row>
    <row r="55" spans="1:7" ht="16.5">
      <c r="A55" s="14" t="s">
        <v>257</v>
      </c>
      <c r="B55" s="4">
        <f>VLOOKUP(A55,联盟DKP榜单!A$1:C$598,3,FALSE)-40*COUNTIF(扣分!A:A,A55)</f>
        <v>70</v>
      </c>
      <c r="C55" s="24">
        <f>50*COUNTIF(帮战总榜!A$1:AB$150,$A55)+40*COUNTIF(掠夺!A$1:AB$150,$A55)</f>
        <v>0</v>
      </c>
      <c r="D55" s="24">
        <f>20*COUNTIF(YY统计!A$2:M$150,$A55)</f>
        <v>0</v>
      </c>
      <c r="E55" s="24">
        <f>SUM(B55:D55)</f>
        <v>70</v>
      </c>
      <c r="F55" s="24">
        <f>IF(AND(E55&gt;=16,E55&lt;66),0.01,ROUNDDOWN((E55-16)/50,0))</f>
        <v>1</v>
      </c>
      <c r="G55" s="13">
        <f>IF(AND(F55&gt;=1,F55&lt;=6),E55-F55*50-16,IF(F55=0.01,E55-16,IF(F55=0,0,IF(F55&gt;6,E55-316,0))))</f>
        <v>4</v>
      </c>
    </row>
    <row r="56" spans="1:7" ht="16.5">
      <c r="A56" s="14" t="s">
        <v>186</v>
      </c>
      <c r="B56" s="4">
        <f>VLOOKUP(A56,联盟DKP榜单!A$1:C$598,3,FALSE)-40*COUNTIF(扣分!A:A,A56)</f>
        <v>70</v>
      </c>
      <c r="C56" s="24">
        <f>50*COUNTIF(帮战总榜!A$1:AB$150,$A56)+40*COUNTIF(掠夺!A$1:AB$150,$A56)</f>
        <v>0</v>
      </c>
      <c r="D56" s="24">
        <f>20*COUNTIF(YY统计!A$2:M$150,$A56)</f>
        <v>0</v>
      </c>
      <c r="E56" s="24">
        <f>SUM(B56:D56)</f>
        <v>70</v>
      </c>
      <c r="F56" s="24">
        <f>IF(AND(E56&gt;=16,E56&lt;66),0.01,ROUNDDOWN((E56-16)/50,0))</f>
        <v>1</v>
      </c>
      <c r="G56" s="13">
        <f>IF(AND(F56&gt;=1,F56&lt;=6),E56-F56*50-16,IF(F56=0.01,E56-16,IF(F56=0,0,IF(F56&gt;6,E56-316,0))))</f>
        <v>4</v>
      </c>
    </row>
    <row r="57" spans="1:7" ht="16.5">
      <c r="A57" s="14" t="s">
        <v>256</v>
      </c>
      <c r="B57" s="4">
        <f>VLOOKUP(A57,联盟DKP榜单!A$1:C$598,3,FALSE)-40*COUNTIF(扣分!A:A,A57)</f>
        <v>70</v>
      </c>
      <c r="C57" s="24">
        <f>50*COUNTIF(帮战总榜!A$1:AB$150,$A57)+40*COUNTIF(掠夺!A$1:AB$150,$A57)</f>
        <v>0</v>
      </c>
      <c r="D57" s="24">
        <f>20*COUNTIF(YY统计!A$2:M$150,$A57)</f>
        <v>0</v>
      </c>
      <c r="E57" s="24">
        <f>SUM(B57:D57)</f>
        <v>70</v>
      </c>
      <c r="F57" s="24">
        <f>IF(AND(E57&gt;=16,E57&lt;66),0.01,ROUNDDOWN((E57-16)/50,0))</f>
        <v>1</v>
      </c>
      <c r="G57" s="13">
        <f>IF(AND(F57&gt;=1,F57&lt;=6),E57-F57*50-16,IF(F57=0.01,E57-16,IF(F57=0,0,IF(F57&gt;6,E57-316,0))))</f>
        <v>4</v>
      </c>
    </row>
    <row r="58" spans="1:7" ht="16.5">
      <c r="A58" s="14" t="s">
        <v>232</v>
      </c>
      <c r="B58" s="4">
        <f>VLOOKUP(A58,联盟DKP榜单!A$1:C$598,3,FALSE)-40*COUNTIF(扣分!A:A,A58)</f>
        <v>55</v>
      </c>
      <c r="C58" s="24">
        <f>50*COUNTIF(帮战总榜!A$1:AB$150,$A58)+40*COUNTIF(掠夺!A$1:AB$150,$A58)</f>
        <v>40</v>
      </c>
      <c r="D58" s="24">
        <f>20*COUNTIF(YY统计!A$2:M$150,$A58)</f>
        <v>20</v>
      </c>
      <c r="E58" s="24">
        <f>SUM(B58:D58)</f>
        <v>115</v>
      </c>
      <c r="F58" s="24">
        <f>IF(AND(E58&gt;=16,E58&lt;66),0.01,ROUNDDOWN((E58-16)/50,0))</f>
        <v>1</v>
      </c>
      <c r="G58" s="13">
        <f>IF(AND(F58&gt;=1,F58&lt;=6),E58-F58*50-16,IF(F58=0.01,E58-16,IF(F58=0,0,IF(F58&gt;6,E58-316,0))))</f>
        <v>49</v>
      </c>
    </row>
    <row r="59" spans="1:7" ht="16.5">
      <c r="A59" s="14" t="s">
        <v>143</v>
      </c>
      <c r="B59" s="4">
        <f>VLOOKUP(A59,联盟DKP榜单!A$1:C$598,3,FALSE)-40*COUNTIF(扣分!A:A,A59)</f>
        <v>0</v>
      </c>
      <c r="C59" s="24">
        <f>50*COUNTIF(帮战总榜!A$1:AB$150,$A59)+40*COUNTIF(掠夺!A$1:AB$150,$A59)</f>
        <v>80</v>
      </c>
      <c r="D59" s="24">
        <f>20*COUNTIF(YY统计!A$2:M$150,$A59)</f>
        <v>20</v>
      </c>
      <c r="E59" s="24">
        <f>SUM(B59:D59)</f>
        <v>100</v>
      </c>
      <c r="F59" s="24">
        <f>IF(AND(E59&gt;=16,E59&lt;66),0.01,ROUNDDOWN((E59-16)/50,0))</f>
        <v>1</v>
      </c>
      <c r="G59" s="13">
        <f>IF(AND(F59&gt;=1,F59&lt;=6),E59-F59*50-16,IF(F59=0.01,E59-16,IF(F59=0,0,IF(F59&gt;6,E59-316,0))))</f>
        <v>34</v>
      </c>
    </row>
    <row r="60" spans="1:7" ht="16.5">
      <c r="A60" s="14" t="s">
        <v>189</v>
      </c>
      <c r="B60" s="4">
        <f>VLOOKUP(A60,联盟DKP榜单!A$1:C$598,3,FALSE)-40*COUNTIF(扣分!A:A,A60)</f>
        <v>36</v>
      </c>
      <c r="C60" s="24">
        <f>50*COUNTIF(帮战总榜!A$1:AB$150,$A60)+40*COUNTIF(掠夺!A$1:AB$150,$A60)</f>
        <v>0</v>
      </c>
      <c r="D60" s="24">
        <f>20*COUNTIF(YY统计!A$2:M$150,$A60)</f>
        <v>0</v>
      </c>
      <c r="E60" s="24">
        <f>SUM(B60:D60)</f>
        <v>36</v>
      </c>
      <c r="F60" s="24">
        <f>IF(AND(E60&gt;=16,E60&lt;66),0.01,ROUNDDOWN((E60-16)/50,0))</f>
        <v>0.01</v>
      </c>
      <c r="G60" s="13">
        <f>IF(AND(F60&gt;=1,F60&lt;=6),E60-F60*50-16,IF(F60=0.01,E60-16,IF(F60=0,0,IF(F60&gt;6,E60-316,0))))</f>
        <v>20</v>
      </c>
    </row>
    <row r="61" spans="1:7" ht="16.5">
      <c r="A61" s="14" t="s">
        <v>176</v>
      </c>
      <c r="B61" s="4">
        <f>VLOOKUP(A61,联盟DKP榜单!A$1:C$598,3,FALSE)-40*COUNTIF(扣分!A:A,A61)</f>
        <v>35</v>
      </c>
      <c r="C61" s="24">
        <f>50*COUNTIF(帮战总榜!A$1:AB$150,$A61)+40*COUNTIF(掠夺!A$1:AB$150,$A61)</f>
        <v>0</v>
      </c>
      <c r="D61" s="24">
        <f>20*COUNTIF(YY统计!A$2:M$150,$A61)</f>
        <v>0</v>
      </c>
      <c r="E61" s="24">
        <f>SUM(B61:D61)</f>
        <v>35</v>
      </c>
      <c r="F61" s="24">
        <f>IF(AND(E61&gt;=16,E61&lt;66),0.01,ROUNDDOWN((E61-16)/50,0))</f>
        <v>0.01</v>
      </c>
      <c r="G61" s="13">
        <f>IF(AND(F61&gt;=1,F61&lt;=6),E61-F61*50-16,IF(F61=0.01,E61-16,IF(F61=0,0,IF(F61&gt;6,E61-316,0))))</f>
        <v>19</v>
      </c>
    </row>
    <row r="62" spans="1:7" ht="16.5">
      <c r="A62" s="14" t="s">
        <v>238</v>
      </c>
      <c r="B62" s="4">
        <f>VLOOKUP(A62,联盟DKP榜单!A$1:C$598,3,FALSE)-40*COUNTIF(扣分!A:A,A62)</f>
        <v>35</v>
      </c>
      <c r="C62" s="24">
        <f>50*COUNTIF(帮战总榜!A$1:AB$150,$A62)+40*COUNTIF(掠夺!A$1:AB$150,$A62)</f>
        <v>0</v>
      </c>
      <c r="D62" s="24">
        <f>20*COUNTIF(YY统计!A$2:M$150,$A62)</f>
        <v>0</v>
      </c>
      <c r="E62" s="24">
        <f>SUM(B62:D62)</f>
        <v>35</v>
      </c>
      <c r="F62" s="24">
        <f>IF(AND(E62&gt;=16,E62&lt;66),0.01,ROUNDDOWN((E62-16)/50,0))</f>
        <v>0.01</v>
      </c>
      <c r="G62" s="13">
        <f>IF(AND(F62&gt;=1,F62&lt;=6),E62-F62*50-16,IF(F62=0.01,E62-16,IF(F62=0,0,IF(F62&gt;6,E62-316,0))))</f>
        <v>19</v>
      </c>
    </row>
    <row r="63" spans="1:7" ht="16.5">
      <c r="A63" s="14" t="s">
        <v>199</v>
      </c>
      <c r="B63" s="4">
        <f>VLOOKUP(A63,联盟DKP榜单!A$1:C$598,3,FALSE)-40*COUNTIF(扣分!A:A,A63)</f>
        <v>35</v>
      </c>
      <c r="C63" s="24">
        <f>50*COUNTIF(帮战总榜!A$1:AB$150,$A63)+40*COUNTIF(掠夺!A$1:AB$150,$A63)</f>
        <v>0</v>
      </c>
      <c r="D63" s="24">
        <f>20*COUNTIF(YY统计!A$2:M$150,$A63)</f>
        <v>0</v>
      </c>
      <c r="E63" s="24">
        <f>SUM(B63:D63)</f>
        <v>35</v>
      </c>
      <c r="F63" s="24">
        <f>IF(AND(E63&gt;=16,E63&lt;66),0.01,ROUNDDOWN((E63-16)/50,0))</f>
        <v>0.01</v>
      </c>
      <c r="G63" s="13">
        <f>IF(AND(F63&gt;=1,F63&lt;=6),E63-F63*50-16,IF(F63=0.01,E63-16,IF(F63=0,0,IF(F63&gt;6,E63-316,0))))</f>
        <v>19</v>
      </c>
    </row>
    <row r="64" spans="1:7" ht="16.5">
      <c r="A64" s="14" t="s">
        <v>175</v>
      </c>
      <c r="B64" s="4">
        <f>VLOOKUP(A64,联盟DKP榜单!A$1:C$598,3,FALSE)-40*COUNTIF(扣分!A:A,A64)</f>
        <v>35</v>
      </c>
      <c r="C64" s="24">
        <f>50*COUNTIF(帮战总榜!A$1:AB$150,$A64)+40*COUNTIF(掠夺!A$1:AB$150,$A64)</f>
        <v>0</v>
      </c>
      <c r="D64" s="24">
        <f>20*COUNTIF(YY统计!A$2:M$150,$A64)</f>
        <v>0</v>
      </c>
      <c r="E64" s="24">
        <f>SUM(B64:D64)</f>
        <v>35</v>
      </c>
      <c r="F64" s="24">
        <f>IF(AND(E64&gt;=16,E64&lt;66),0.01,ROUNDDOWN((E64-16)/50,0))</f>
        <v>0.01</v>
      </c>
      <c r="G64" s="13">
        <f>IF(AND(F64&gt;=1,F64&lt;=6),E64-F64*50-16,IF(F64=0.01,E64-16,IF(F64=0,0,IF(F64&gt;6,E64-316,0))))</f>
        <v>19</v>
      </c>
    </row>
    <row r="65" spans="1:7" ht="16.5">
      <c r="A65" s="14" t="s">
        <v>219</v>
      </c>
      <c r="B65" s="4">
        <f>VLOOKUP(A65,联盟DKP榜单!A$1:C$598,3,FALSE)-40*COUNTIF(扣分!A:A,A65)</f>
        <v>35</v>
      </c>
      <c r="C65" s="24">
        <f>50*COUNTIF(帮战总榜!A$1:AB$150,$A65)+40*COUNTIF(掠夺!A$1:AB$150,$A65)</f>
        <v>0</v>
      </c>
      <c r="D65" s="24">
        <f>20*COUNTIF(YY统计!A$2:M$150,$A65)</f>
        <v>0</v>
      </c>
      <c r="E65" s="24">
        <f>SUM(B65:D65)</f>
        <v>35</v>
      </c>
      <c r="F65" s="24">
        <f>IF(AND(E65&gt;=16,E65&lt;66),0.01,ROUNDDOWN((E65-16)/50,0))</f>
        <v>0.01</v>
      </c>
      <c r="G65" s="13">
        <f>IF(AND(F65&gt;=1,F65&lt;=6),E65-F65*50-16,IF(F65=0.01,E65-16,IF(F65=0,0,IF(F65&gt;6,E65-316,0))))</f>
        <v>19</v>
      </c>
    </row>
    <row r="66" spans="1:7" ht="16.5">
      <c r="A66" s="14" t="s">
        <v>218</v>
      </c>
      <c r="B66" s="4">
        <f>VLOOKUP(A66,联盟DKP榜单!A$1:C$598,3,FALSE)-40*COUNTIF(扣分!A:A,A66)</f>
        <v>35</v>
      </c>
      <c r="C66" s="24">
        <f>50*COUNTIF(帮战总榜!A$1:AB$150,$A66)+40*COUNTIF(掠夺!A$1:AB$150,$A66)</f>
        <v>0</v>
      </c>
      <c r="D66" s="24">
        <f>20*COUNTIF(YY统计!A$2:M$150,$A66)</f>
        <v>20</v>
      </c>
      <c r="E66" s="24">
        <f>SUM(B66:D66)</f>
        <v>55</v>
      </c>
      <c r="F66" s="24">
        <f>IF(AND(E66&gt;=16,E66&lt;66),0.01,ROUNDDOWN((E66-16)/50,0))</f>
        <v>0.01</v>
      </c>
      <c r="G66" s="13">
        <f>IF(AND(F66&gt;=1,F66&lt;=6),E66-F66*50-16,IF(F66=0.01,E66-16,IF(F66=0,0,IF(F66&gt;6,E66-316,0))))</f>
        <v>39</v>
      </c>
    </row>
    <row r="67" spans="1:7" ht="16.5">
      <c r="A67" s="14" t="s">
        <v>221</v>
      </c>
      <c r="B67" s="4">
        <f>VLOOKUP(A67,联盟DKP榜单!A$1:C$598,3,FALSE)-40*COUNTIF(扣分!A:A,A67)</f>
        <v>35</v>
      </c>
      <c r="C67" s="24">
        <f>50*COUNTIF(帮战总榜!A$1:AB$150,$A67)+40*COUNTIF(掠夺!A$1:AB$150,$A67)</f>
        <v>0</v>
      </c>
      <c r="D67" s="24">
        <f>20*COUNTIF(YY统计!A$2:M$150,$A67)</f>
        <v>0</v>
      </c>
      <c r="E67" s="24">
        <f>SUM(B67:D67)</f>
        <v>35</v>
      </c>
      <c r="F67" s="24">
        <f>IF(AND(E67&gt;=16,E67&lt;66),0.01,ROUNDDOWN((E67-16)/50,0))</f>
        <v>0.01</v>
      </c>
      <c r="G67" s="13">
        <f>IF(AND(F67&gt;=1,F67&lt;=6),E67-F67*50-16,IF(F67=0.01,E67-16,IF(F67=0,0,IF(F67&gt;6,E67-316,0))))</f>
        <v>19</v>
      </c>
    </row>
    <row r="68" spans="1:7" ht="16.5">
      <c r="A68" s="14" t="s">
        <v>574</v>
      </c>
      <c r="B68" s="4">
        <f>VLOOKUP(A68,联盟DKP榜单!A$1:C$598,3,FALSE)-40*COUNTIF(扣分!A:A,A68)</f>
        <v>20</v>
      </c>
      <c r="C68" s="24">
        <f>50*COUNTIF(帮战总榜!A$1:AB$150,$A68)+40*COUNTIF(掠夺!A$1:AB$150,$A68)</f>
        <v>0</v>
      </c>
      <c r="D68" s="24">
        <f>20*COUNTIF(YY统计!A$2:M$150,$A68)</f>
        <v>0</v>
      </c>
      <c r="E68" s="24">
        <f>SUM(B68:D68)</f>
        <v>20</v>
      </c>
      <c r="F68" s="24">
        <f>IF(AND(E68&gt;=16,E68&lt;66),0.01,ROUNDDOWN((E68-16)/50,0))</f>
        <v>0.01</v>
      </c>
      <c r="G68" s="13">
        <f>IF(AND(F68&gt;=1,F68&lt;=6),E68-F68*50-16,IF(F68=0.01,E68-16,IF(F68=0,0,IF(F68&gt;6,E68-316,0))))</f>
        <v>4</v>
      </c>
    </row>
    <row r="69" spans="1:7" ht="16.5">
      <c r="A69" s="14" t="s">
        <v>149</v>
      </c>
      <c r="B69" s="4">
        <f>VLOOKUP(A69,联盟DKP榜单!A$1:C$598,3,FALSE)-40*COUNTIF(扣分!A:A,A69)</f>
        <v>20</v>
      </c>
      <c r="C69" s="24">
        <f>50*COUNTIF(帮战总榜!A$1:AB$150,$A69)+40*COUNTIF(掠夺!A$1:AB$150,$A69)</f>
        <v>40</v>
      </c>
      <c r="D69" s="24">
        <f>20*COUNTIF(YY统计!A$2:M$150,$A69)</f>
        <v>0</v>
      </c>
      <c r="E69" s="24">
        <f>SUM(B69:D69)</f>
        <v>60</v>
      </c>
      <c r="F69" s="24">
        <f>IF(AND(E69&gt;=16,E69&lt;66),0.01,ROUNDDOWN((E69-16)/50,0))</f>
        <v>0.01</v>
      </c>
      <c r="G69" s="13">
        <f>IF(AND(F69&gt;=1,F69&lt;=6),E69-F69*50-16,IF(F69=0.01,E69-16,IF(F69=0,0,IF(F69&gt;6,E69-316,0))))</f>
        <v>44</v>
      </c>
    </row>
    <row r="70" spans="1:7" ht="16.5">
      <c r="A70" s="14" t="s">
        <v>168</v>
      </c>
      <c r="B70" s="4">
        <f>VLOOKUP(A70,联盟DKP榜单!A$1:C$598,3,FALSE)-40*COUNTIF(扣分!A:A,A70)</f>
        <v>0</v>
      </c>
      <c r="C70" s="24">
        <f>50*COUNTIF(帮战总榜!A$1:AB$150,$A70)+40*COUNTIF(掠夺!A$1:AB$150,$A70)</f>
        <v>40</v>
      </c>
      <c r="D70" s="24">
        <f>20*COUNTIF(YY统计!A$2:M$150,$A70)</f>
        <v>20</v>
      </c>
      <c r="E70" s="24">
        <f>SUM(B70:D70)</f>
        <v>60</v>
      </c>
      <c r="F70" s="24">
        <f>IF(AND(E70&gt;=16,E70&lt;66),0.01,ROUNDDOWN((E70-16)/50,0))</f>
        <v>0.01</v>
      </c>
      <c r="G70" s="13">
        <f>IF(AND(F70&gt;=1,F70&lt;=6),E70-F70*50-16,IF(F70=0.01,E70-16,IF(F70=0,0,IF(F70&gt;6,E70-316,0))))</f>
        <v>44</v>
      </c>
    </row>
    <row r="71" spans="1:7" ht="16.5">
      <c r="A71" s="14" t="s">
        <v>490</v>
      </c>
      <c r="B71" s="4">
        <f>VLOOKUP(A71,联盟DKP榜单!A$1:C$598,3,FALSE)-40*COUNTIF(扣分!A:A,A71)</f>
        <v>0</v>
      </c>
      <c r="C71" s="24">
        <f>50*COUNTIF(帮战总榜!A$1:AB$150,$A71)+40*COUNTIF(掠夺!A$1:AB$150,$A71)</f>
        <v>40</v>
      </c>
      <c r="D71" s="24">
        <f>20*COUNTIF(YY统计!A$2:M$150,$A71)</f>
        <v>0</v>
      </c>
      <c r="E71" s="24">
        <f>SUM(B71:D71)</f>
        <v>40</v>
      </c>
      <c r="F71" s="24">
        <f>IF(AND(E71&gt;=16,E71&lt;66),0.01,ROUNDDOWN((E71-16)/50,0))</f>
        <v>0.01</v>
      </c>
      <c r="G71" s="13">
        <f>IF(AND(F71&gt;=1,F71&lt;=6),E71-F71*50-16,IF(F71=0.01,E71-16,IF(F71=0,0,IF(F71&gt;6,E71-316,0))))</f>
        <v>24</v>
      </c>
    </row>
    <row r="72" spans="1:7" ht="16.5">
      <c r="A72" s="14" t="s">
        <v>239</v>
      </c>
      <c r="B72" s="4">
        <f>VLOOKUP(A72,联盟DKP榜单!A$1:C$598,3,FALSE)-40*COUNTIF(扣分!A:A,A72)</f>
        <v>0</v>
      </c>
      <c r="C72" s="24">
        <f>50*COUNTIF(帮战总榜!A$1:AB$150,$A72)+40*COUNTIF(掠夺!A$1:AB$150,$A72)</f>
        <v>0</v>
      </c>
      <c r="D72" s="24">
        <f>20*COUNTIF(YY统计!A$2:M$150,$A72)</f>
        <v>20</v>
      </c>
      <c r="E72" s="24">
        <f>SUM(B72:D72)</f>
        <v>20</v>
      </c>
      <c r="F72" s="24">
        <f>IF(AND(E72&gt;=16,E72&lt;66),0.01,ROUNDDOWN((E72-16)/50,0))</f>
        <v>0.01</v>
      </c>
      <c r="G72" s="13">
        <f>IF(AND(F72&gt;=1,F72&lt;=6),E72-F72*50-16,IF(F72=0.01,E72-16,IF(F72=0,0,IF(F72&gt;6,E72-316,0))))</f>
        <v>4</v>
      </c>
    </row>
    <row r="73" spans="1:7" ht="16.5">
      <c r="A73" s="14" t="s">
        <v>553</v>
      </c>
      <c r="B73" s="4">
        <f>VLOOKUP(A73,联盟DKP榜单!A$1:C$598,3,FALSE)-40*COUNTIF(扣分!A:A,A73)</f>
        <v>0</v>
      </c>
      <c r="C73" s="24">
        <f>50*COUNTIF(帮战总榜!A$1:AB$150,$A73)+40*COUNTIF(掠夺!A$1:AB$150,$A73)</f>
        <v>40</v>
      </c>
      <c r="D73" s="24">
        <f>20*COUNTIF(YY统计!A$2:M$150,$A73)</f>
        <v>20</v>
      </c>
      <c r="E73" s="24">
        <f>SUM(B73:D73)</f>
        <v>60</v>
      </c>
      <c r="F73" s="24">
        <f>IF(AND(E73&gt;=16,E73&lt;66),0.01,ROUNDDOWN((E73-16)/50,0))</f>
        <v>0.01</v>
      </c>
      <c r="G73" s="13">
        <f>IF(AND(F73&gt;=1,F73&lt;=6),E73-F73*50-16,IF(F73=0.01,E73-16,IF(F73=0,0,IF(F73&gt;6,E73-316,0))))</f>
        <v>44</v>
      </c>
    </row>
    <row r="74" spans="1:7" ht="16.5">
      <c r="A74" s="14" t="s">
        <v>499</v>
      </c>
      <c r="B74" s="4">
        <f>VLOOKUP(A74,联盟DKP榜单!A$1:C$598,3,FALSE)-40*COUNTIF(扣分!A:A,A74)</f>
        <v>0</v>
      </c>
      <c r="C74" s="24">
        <f>50*COUNTIF(帮战总榜!A$1:AB$150,$A74)+40*COUNTIF(掠夺!A$1:AB$150,$A74)</f>
        <v>40</v>
      </c>
      <c r="D74" s="24">
        <f>20*COUNTIF(YY统计!A$2:M$150,$A74)</f>
        <v>20</v>
      </c>
      <c r="E74" s="24">
        <f>SUM(B74:D74)</f>
        <v>60</v>
      </c>
      <c r="F74" s="24">
        <f>IF(AND(E74&gt;=16,E74&lt;66),0.01,ROUNDDOWN((E74-16)/50,0))</f>
        <v>0.01</v>
      </c>
      <c r="G74" s="13">
        <f>IF(AND(F74&gt;=1,F74&lt;=6),E74-F74*50-16,IF(F74=0.01,E74-16,IF(F74=0,0,IF(F74&gt;6,E74-316,0))))</f>
        <v>44</v>
      </c>
    </row>
    <row r="75" spans="1:7" ht="16.5">
      <c r="A75" s="14" t="s">
        <v>210</v>
      </c>
      <c r="B75" s="4">
        <f>VLOOKUP(A75,联盟DKP榜单!A$1:C$598,3,FALSE)-40*COUNTIF(扣分!A:A,A75)</f>
        <v>6</v>
      </c>
      <c r="C75" s="24">
        <f>50*COUNTIF(帮战总榜!A$1:AB$150,$A75)+40*COUNTIF(掠夺!A$1:AB$150,$A75)</f>
        <v>0</v>
      </c>
      <c r="D75" s="24">
        <f>20*COUNTIF(YY统计!A$2:M$150,$A75)</f>
        <v>0</v>
      </c>
      <c r="E75" s="24">
        <f>SUM(B75:D75)</f>
        <v>6</v>
      </c>
      <c r="F75" s="24">
        <f>IF(AND(E75&gt;=16,E75&lt;66),0.01,ROUNDDOWN((E75-16)/50,0))</f>
        <v>0</v>
      </c>
      <c r="G75" s="13">
        <f>IF(AND(F75&gt;=1,F75&lt;=6),E75-F75*50-16,IF(F75=0.01,E75-16,IF(F75=0,0,IF(F75&gt;6,E75-316,0))))</f>
        <v>0</v>
      </c>
    </row>
    <row r="76" spans="1:7" ht="16.5">
      <c r="A76" s="14" t="s">
        <v>182</v>
      </c>
      <c r="B76" s="4">
        <f>VLOOKUP(A76,联盟DKP榜单!A$1:C$598,3,FALSE)-40*COUNTIF(扣分!A:A,A76)</f>
        <v>0</v>
      </c>
      <c r="C76" s="24">
        <f>50*COUNTIF(帮战总榜!A$1:AB$150,$A76)+40*COUNTIF(掠夺!A$1:AB$150,$A76)</f>
        <v>0</v>
      </c>
      <c r="D76" s="24">
        <f>20*COUNTIF(YY统计!A$2:M$150,$A76)</f>
        <v>0</v>
      </c>
      <c r="E76" s="24">
        <f>SUM(B76:D76)</f>
        <v>0</v>
      </c>
      <c r="F76" s="24">
        <f>IF(AND(E76&gt;=16,E76&lt;66),0.01,ROUNDDOWN((E76-16)/50,0))</f>
        <v>0</v>
      </c>
      <c r="G76" s="13">
        <f>IF(AND(F76&gt;=1,F76&lt;=6),E76-F76*50-16,IF(F76=0.01,E76-16,IF(F76=0,0,IF(F76&gt;6,E76-316,0))))</f>
        <v>0</v>
      </c>
    </row>
    <row r="77" spans="1:7" ht="16.5">
      <c r="A77" s="14" t="s">
        <v>207</v>
      </c>
      <c r="B77" s="4">
        <f>VLOOKUP(A77,联盟DKP榜单!A$1:C$598,3,FALSE)-40*COUNTIF(扣分!A:A,A77)</f>
        <v>0</v>
      </c>
      <c r="C77" s="24">
        <f>50*COUNTIF(帮战总榜!A$1:AB$150,$A77)+40*COUNTIF(掠夺!A$1:AB$150,$A77)</f>
        <v>0</v>
      </c>
      <c r="D77" s="24">
        <f>20*COUNTIF(YY统计!A$2:M$150,$A77)</f>
        <v>0</v>
      </c>
      <c r="E77" s="24">
        <f>SUM(B77:D77)</f>
        <v>0</v>
      </c>
      <c r="F77" s="24">
        <f>IF(AND(E77&gt;=16,E77&lt;66),0.01,ROUNDDOWN((E77-16)/50,0))</f>
        <v>0</v>
      </c>
      <c r="G77" s="13">
        <f>IF(AND(F77&gt;=1,F77&lt;=6),E77-F77*50-16,IF(F77=0.01,E77-16,IF(F77=0,0,IF(F77&gt;6,E77-316,0))))</f>
        <v>0</v>
      </c>
    </row>
    <row r="78" spans="1:7" ht="16.5">
      <c r="A78" s="14" t="s">
        <v>298</v>
      </c>
      <c r="B78" s="4">
        <f>VLOOKUP(A78,联盟DKP榜单!A$1:C$598,3,FALSE)-40*COUNTIF(扣分!A:A,A78)</f>
        <v>0</v>
      </c>
      <c r="C78" s="24">
        <f>50*COUNTIF(帮战总榜!A$1:AB$150,$A78)+40*COUNTIF(掠夺!A$1:AB$150,$A78)</f>
        <v>0</v>
      </c>
      <c r="D78" s="24">
        <f>20*COUNTIF(YY统计!A$2:M$150,$A78)</f>
        <v>0</v>
      </c>
      <c r="E78" s="24">
        <f>SUM(B78:D78)</f>
        <v>0</v>
      </c>
      <c r="F78" s="24">
        <f>IF(AND(E78&gt;=16,E78&lt;66),0.01,ROUNDDOWN((E78-16)/50,0))</f>
        <v>0</v>
      </c>
      <c r="G78" s="13">
        <f>IF(AND(F78&gt;=1,F78&lt;=6),E78-F78*50-16,IF(F78=0.01,E78-16,IF(F78=0,0,IF(F78&gt;6,E78-316,0))))</f>
        <v>0</v>
      </c>
    </row>
    <row r="79" spans="1:7" ht="16.5">
      <c r="A79" s="14" t="s">
        <v>188</v>
      </c>
      <c r="B79" s="4">
        <f>VLOOKUP(A79,联盟DKP榜单!A$1:C$598,3,FALSE)-40*COUNTIF(扣分!A:A,A79)</f>
        <v>0</v>
      </c>
      <c r="C79" s="24">
        <f>50*COUNTIF(帮战总榜!A$1:AB$150,$A79)+40*COUNTIF(掠夺!A$1:AB$150,$A79)</f>
        <v>0</v>
      </c>
      <c r="D79" s="24">
        <f>20*COUNTIF(YY统计!A$2:M$150,$A79)</f>
        <v>0</v>
      </c>
      <c r="E79" s="24">
        <f>SUM(B79:D79)</f>
        <v>0</v>
      </c>
      <c r="F79" s="24">
        <f>IF(AND(E79&gt;=16,E79&lt;66),0.01,ROUNDDOWN((E79-16)/50,0))</f>
        <v>0</v>
      </c>
      <c r="G79" s="13">
        <f>IF(AND(F79&gt;=1,F79&lt;=6),E79-F79*50-16,IF(F79=0.01,E79-16,IF(F79=0,0,IF(F79&gt;6,E79-316,0))))</f>
        <v>0</v>
      </c>
    </row>
    <row r="80" spans="1:7" ht="16.5">
      <c r="A80" s="14" t="s">
        <v>512</v>
      </c>
      <c r="B80" s="4">
        <f>VLOOKUP(A80,联盟DKP榜单!A$1:C$598,3,FALSE)-40*COUNTIF(扣分!A:A,A80)</f>
        <v>0</v>
      </c>
      <c r="C80" s="24">
        <f>50*COUNTIF(帮战总榜!A$1:AB$150,$A80)+40*COUNTIF(掠夺!A$1:AB$150,$A80)</f>
        <v>0</v>
      </c>
      <c r="D80" s="24">
        <f>20*COUNTIF(YY统计!A$2:M$150,$A80)</f>
        <v>0</v>
      </c>
      <c r="E80" s="24">
        <f>SUM(B80:D80)</f>
        <v>0</v>
      </c>
      <c r="F80" s="24">
        <f>IF(AND(E80&gt;=16,E80&lt;66),0.01,ROUNDDOWN((E80-16)/50,0))</f>
        <v>0</v>
      </c>
      <c r="G80" s="13">
        <f>IF(AND(F80&gt;=1,F80&lt;=6),E80-F80*50-16,IF(F80=0.01,E80-16,IF(F80=0,0,IF(F80&gt;6,E80-316,0))))</f>
        <v>0</v>
      </c>
    </row>
    <row r="81" spans="1:7" ht="16.5">
      <c r="A81" s="14" t="s">
        <v>208</v>
      </c>
      <c r="B81" s="4">
        <f>VLOOKUP(A81,联盟DKP榜单!A$1:C$598,3,FALSE)-40*COUNTIF(扣分!A:A,A81)</f>
        <v>0</v>
      </c>
      <c r="C81" s="24">
        <f>50*COUNTIF(帮战总榜!A$1:AB$150,$A81)+40*COUNTIF(掠夺!A$1:AB$150,$A81)</f>
        <v>0</v>
      </c>
      <c r="D81" s="24">
        <f>20*COUNTIF(YY统计!A$2:M$150,$A81)</f>
        <v>0</v>
      </c>
      <c r="E81" s="24">
        <f>SUM(B81:D81)</f>
        <v>0</v>
      </c>
      <c r="F81" s="24">
        <f>IF(AND(E81&gt;=16,E81&lt;66),0.01,ROUNDDOWN((E81-16)/50,0))</f>
        <v>0</v>
      </c>
      <c r="G81" s="13">
        <f>IF(AND(F81&gt;=1,F81&lt;=6),E81-F81*50-16,IF(F81=0.01,E81-16,IF(F81=0,0,IF(F81&gt;6,E81-316,0))))</f>
        <v>0</v>
      </c>
    </row>
    <row r="82" spans="1:7" ht="16.5">
      <c r="A82" s="14" t="s">
        <v>209</v>
      </c>
      <c r="B82" s="4">
        <f>VLOOKUP(A82,联盟DKP榜单!A$1:C$598,3,FALSE)-40*COUNTIF(扣分!A:A,A82)</f>
        <v>0</v>
      </c>
      <c r="C82" s="24">
        <f>50*COUNTIF(帮战总榜!A$1:AB$150,$A82)+40*COUNTIF(掠夺!A$1:AB$150,$A82)</f>
        <v>0</v>
      </c>
      <c r="D82" s="24">
        <f>20*COUNTIF(YY统计!A$2:M$150,$A82)</f>
        <v>0</v>
      </c>
      <c r="E82" s="24">
        <f>SUM(B82:D82)</f>
        <v>0</v>
      </c>
      <c r="F82" s="24">
        <f>IF(AND(E82&gt;=16,E82&lt;66),0.01,ROUNDDOWN((E82-16)/50,0))</f>
        <v>0</v>
      </c>
      <c r="G82" s="13">
        <f>IF(AND(F82&gt;=1,F82&lt;=6),E82-F82*50-16,IF(F82=0.01,E82-16,IF(F82=0,0,IF(F82&gt;6,E82-316,0))))</f>
        <v>0</v>
      </c>
    </row>
    <row r="83" spans="1:7" ht="16.5">
      <c r="A83" s="14" t="s">
        <v>211</v>
      </c>
      <c r="B83" s="4">
        <f>VLOOKUP(A83,联盟DKP榜单!A$1:C$598,3,FALSE)-40*COUNTIF(扣分!A:A,A83)</f>
        <v>0</v>
      </c>
      <c r="C83" s="24">
        <f>50*COUNTIF(帮战总榜!A$1:AB$150,$A83)+40*COUNTIF(掠夺!A$1:AB$150,$A83)</f>
        <v>0</v>
      </c>
      <c r="D83" s="24">
        <f>20*COUNTIF(YY统计!A$2:M$150,$A83)</f>
        <v>0</v>
      </c>
      <c r="E83" s="24">
        <f>SUM(B83:D83)</f>
        <v>0</v>
      </c>
      <c r="F83" s="24">
        <f>IF(AND(E83&gt;=16,E83&lt;66),0.01,ROUNDDOWN((E83-16)/50,0))</f>
        <v>0</v>
      </c>
      <c r="G83" s="13">
        <f>IF(AND(F83&gt;=1,F83&lt;=6),E83-F83*50-16,IF(F83=0.01,E83-16,IF(F83=0,0,IF(F83&gt;6,E83-316,0))))</f>
        <v>0</v>
      </c>
    </row>
    <row r="84" spans="1:7" ht="16.5">
      <c r="A84" s="14" t="s">
        <v>241</v>
      </c>
      <c r="B84" s="4">
        <f>VLOOKUP(A84,联盟DKP榜单!A$1:C$598,3,FALSE)-40*COUNTIF(扣分!A:A,A84)</f>
        <v>0</v>
      </c>
      <c r="C84" s="24">
        <f>50*COUNTIF(帮战总榜!A$1:AB$150,$A84)+40*COUNTIF(掠夺!A$1:AB$150,$A84)</f>
        <v>0</v>
      </c>
      <c r="D84" s="24">
        <f>20*COUNTIF(YY统计!A$2:M$150,$A84)</f>
        <v>0</v>
      </c>
      <c r="E84" s="24">
        <f>SUM(B84:D84)</f>
        <v>0</v>
      </c>
      <c r="F84" s="24">
        <f>IF(AND(E84&gt;=16,E84&lt;66),0.01,ROUNDDOWN((E84-16)/50,0))</f>
        <v>0</v>
      </c>
      <c r="G84" s="13">
        <f>IF(AND(F84&gt;=1,F84&lt;=6),E84-F84*50-16,IF(F84=0.01,E84-16,IF(F84=0,0,IF(F84&gt;6,E84-316,0))))</f>
        <v>0</v>
      </c>
    </row>
    <row r="85" spans="1:7" ht="16.5">
      <c r="A85" s="14" t="s">
        <v>242</v>
      </c>
      <c r="B85" s="4">
        <f>VLOOKUP(A85,联盟DKP榜单!A$1:C$598,3,FALSE)-40*COUNTIF(扣分!A:A,A85)</f>
        <v>0</v>
      </c>
      <c r="C85" s="24">
        <f>50*COUNTIF(帮战总榜!A$1:AB$150,$A85)+40*COUNTIF(掠夺!A$1:AB$150,$A85)</f>
        <v>0</v>
      </c>
      <c r="D85" s="24">
        <f>20*COUNTIF(YY统计!A$2:M$150,$A85)</f>
        <v>0</v>
      </c>
      <c r="E85" s="24">
        <f>SUM(B85:D85)</f>
        <v>0</v>
      </c>
      <c r="F85" s="24">
        <f>IF(AND(E85&gt;=16,E85&lt;66),0.01,ROUNDDOWN((E85-16)/50,0))</f>
        <v>0</v>
      </c>
      <c r="G85" s="13">
        <f>IF(AND(F85&gt;=1,F85&lt;=6),E85-F85*50-16,IF(F85=0.01,E85-16,IF(F85=0,0,IF(F85&gt;6,E85-316,0))))</f>
        <v>0</v>
      </c>
    </row>
    <row r="86" spans="1:7" ht="16.5">
      <c r="A86" s="14" t="s">
        <v>184</v>
      </c>
      <c r="B86" s="4">
        <f>VLOOKUP(A86,联盟DKP榜单!A$1:C$598,3,FALSE)-40*COUNTIF(扣分!A:A,A86)</f>
        <v>0</v>
      </c>
      <c r="C86" s="24">
        <f>50*COUNTIF(帮战总榜!A$1:AB$150,$A86)+40*COUNTIF(掠夺!A$1:AB$150,$A86)</f>
        <v>0</v>
      </c>
      <c r="D86" s="24">
        <f>20*COUNTIF(YY统计!A$2:M$150,$A86)</f>
        <v>0</v>
      </c>
      <c r="E86" s="24">
        <f>SUM(B86:D86)</f>
        <v>0</v>
      </c>
      <c r="F86" s="24">
        <f>IF(AND(E86&gt;=16,E86&lt;66),0.01,ROUNDDOWN((E86-16)/50,0))</f>
        <v>0</v>
      </c>
      <c r="G86" s="13">
        <f>IF(AND(F86&gt;=1,F86&lt;=6),E86-F86*50-16,IF(F86=0.01,E86-16,IF(F86=0,0,IF(F86&gt;6,E86-316,0))))</f>
        <v>0</v>
      </c>
    </row>
    <row r="87" spans="1:7" ht="16.5">
      <c r="A87" s="14" t="s">
        <v>600</v>
      </c>
      <c r="B87" s="4">
        <f>VLOOKUP(A87,联盟DKP榜单!A$1:C$598,3,FALSE)-40*COUNTIF(扣分!A:A,A87)</f>
        <v>0</v>
      </c>
      <c r="C87" s="24">
        <f>50*COUNTIF(帮战总榜!A$1:AB$150,$A87)+40*COUNTIF(掠夺!A$1:AB$150,$A87)</f>
        <v>0</v>
      </c>
      <c r="D87" s="24">
        <f>20*COUNTIF(YY统计!A$2:M$150,$A87)</f>
        <v>0</v>
      </c>
      <c r="E87" s="24">
        <f>SUM(B87:D87)</f>
        <v>0</v>
      </c>
      <c r="F87" s="24">
        <f>IF(AND(E87&gt;=16,E87&lt;66),0.01,ROUNDDOWN((E87-16)/50,0))</f>
        <v>0</v>
      </c>
      <c r="G87" s="13">
        <f>IF(AND(F87&gt;=1,F87&lt;=6),E87-F87*50-16,IF(F87=0.01,E87-16,IF(F87=0,0,IF(F87&gt;6,E87-316,0))))</f>
        <v>0</v>
      </c>
    </row>
    <row r="88" spans="1:7" ht="16.5">
      <c r="A88" s="14" t="s">
        <v>244</v>
      </c>
      <c r="B88" s="4">
        <f>VLOOKUP(A88,联盟DKP榜单!A$1:C$598,3,FALSE)-40*COUNTIF(扣分!A:A,A88)</f>
        <v>0</v>
      </c>
      <c r="C88" s="24">
        <f>50*COUNTIF(帮战总榜!A$1:AB$150,$A88)+40*COUNTIF(掠夺!A$1:AB$150,$A88)</f>
        <v>0</v>
      </c>
      <c r="D88" s="24">
        <f>20*COUNTIF(YY统计!A$2:M$150,$A88)</f>
        <v>0</v>
      </c>
      <c r="E88" s="24">
        <f>SUM(B88:D88)</f>
        <v>0</v>
      </c>
      <c r="F88" s="24">
        <f>IF(AND(E88&gt;=16,E88&lt;66),0.01,ROUNDDOWN((E88-16)/50,0))</f>
        <v>0</v>
      </c>
      <c r="G88" s="13">
        <f>IF(AND(F88&gt;=1,F88&lt;=6),E88-F88*50-16,IF(F88=0.01,E88-16,IF(F88=0,0,IF(F88&gt;6,E88-316,0))))</f>
        <v>0</v>
      </c>
    </row>
    <row r="89" spans="1:7" ht="16.5">
      <c r="A89" s="14" t="s">
        <v>245</v>
      </c>
      <c r="B89" s="4">
        <f>VLOOKUP(A89,联盟DKP榜单!A$1:C$598,3,FALSE)-40*COUNTIF(扣分!A:A,A89)</f>
        <v>0</v>
      </c>
      <c r="C89" s="24">
        <f>50*COUNTIF(帮战总榜!A$1:AB$150,$A89)+40*COUNTIF(掠夺!A$1:AB$150,$A89)</f>
        <v>0</v>
      </c>
      <c r="D89" s="24">
        <f>20*COUNTIF(YY统计!A$2:M$150,$A89)</f>
        <v>0</v>
      </c>
      <c r="E89" s="24">
        <f>SUM(B89:D89)</f>
        <v>0</v>
      </c>
      <c r="F89" s="24">
        <f>IF(AND(E89&gt;=16,E89&lt;66),0.01,ROUNDDOWN((E89-16)/50,0))</f>
        <v>0</v>
      </c>
      <c r="G89" s="13">
        <f>IF(AND(F89&gt;=1,F89&lt;=6),E89-F89*50-16,IF(F89=0.01,E89-16,IF(F89=0,0,IF(F89&gt;6,E89-316,0))))</f>
        <v>0</v>
      </c>
    </row>
    <row r="90" spans="1:7" ht="16.5">
      <c r="A90" s="14" t="s">
        <v>246</v>
      </c>
      <c r="B90" s="4">
        <f>VLOOKUP(A90,联盟DKP榜单!A$1:C$598,3,FALSE)-40*COUNTIF(扣分!A:A,A90)</f>
        <v>0</v>
      </c>
      <c r="C90" s="24">
        <f>50*COUNTIF(帮战总榜!A$1:AB$150,$A90)+40*COUNTIF(掠夺!A$1:AB$150,$A90)</f>
        <v>0</v>
      </c>
      <c r="D90" s="24">
        <f>20*COUNTIF(YY统计!A$2:M$150,$A90)</f>
        <v>0</v>
      </c>
      <c r="E90" s="24">
        <f>SUM(B90:D90)</f>
        <v>0</v>
      </c>
      <c r="F90" s="24">
        <f>IF(AND(E90&gt;=16,E90&lt;66),0.01,ROUNDDOWN((E90-16)/50,0))</f>
        <v>0</v>
      </c>
      <c r="G90" s="13">
        <f>IF(AND(F90&gt;=1,F90&lt;=6),E90-F90*50-16,IF(F90=0.01,E90-16,IF(F90=0,0,IF(F90&gt;6,E90-316,0))))</f>
        <v>0</v>
      </c>
    </row>
    <row r="91" spans="1:7" ht="16.5">
      <c r="A91" s="14" t="s">
        <v>601</v>
      </c>
      <c r="B91" s="4">
        <f>VLOOKUP(A91,联盟DKP榜单!A$1:C$598,3,FALSE)-40*COUNTIF(扣分!A:A,A91)</f>
        <v>0</v>
      </c>
      <c r="C91" s="24">
        <f>50*COUNTIF(帮战总榜!A$1:AB$150,$A91)+40*COUNTIF(掠夺!A$1:AB$150,$A91)</f>
        <v>0</v>
      </c>
      <c r="D91" s="24">
        <f>20*COUNTIF(YY统计!A$2:M$150,$A91)</f>
        <v>0</v>
      </c>
      <c r="E91" s="24">
        <f>SUM(B91:D91)</f>
        <v>0</v>
      </c>
      <c r="F91" s="24">
        <f>IF(AND(E91&gt;=16,E91&lt;66),0.01,ROUNDDOWN((E91-16)/50,0))</f>
        <v>0</v>
      </c>
      <c r="G91" s="13">
        <f>IF(AND(F91&gt;=1,F91&lt;=6),E91-F91*50-16,IF(F91=0.01,E91-16,IF(F91=0,0,IF(F91&gt;6,E91-316,0))))</f>
        <v>0</v>
      </c>
    </row>
    <row r="92" spans="1:7" ht="16.5">
      <c r="A92" s="14" t="s">
        <v>247</v>
      </c>
      <c r="B92" s="4">
        <f>VLOOKUP(A92,联盟DKP榜单!A$1:C$598,3,FALSE)-40*COUNTIF(扣分!A:A,A92)</f>
        <v>0</v>
      </c>
      <c r="C92" s="24">
        <f>50*COUNTIF(帮战总榜!A$1:AB$150,$A92)+40*COUNTIF(掠夺!A$1:AB$150,$A92)</f>
        <v>0</v>
      </c>
      <c r="D92" s="24">
        <f>20*COUNTIF(YY统计!A$2:M$150,$A92)</f>
        <v>0</v>
      </c>
      <c r="E92" s="24">
        <f>SUM(B92:D92)</f>
        <v>0</v>
      </c>
      <c r="F92" s="24">
        <f>IF(AND(E92&gt;=16,E92&lt;66),0.01,ROUNDDOWN((E92-16)/50,0))</f>
        <v>0</v>
      </c>
      <c r="G92" s="13">
        <f>IF(AND(F92&gt;=1,F92&lt;=6),E92-F92*50-16,IF(F92=0.01,E92-16,IF(F92=0,0,IF(F92&gt;6,E92-316,0))))</f>
        <v>0</v>
      </c>
    </row>
    <row r="93" spans="1:7" ht="16.5">
      <c r="A93" s="14" t="s">
        <v>248</v>
      </c>
      <c r="B93" s="4">
        <f>VLOOKUP(A93,联盟DKP榜单!A$1:C$598,3,FALSE)-40*COUNTIF(扣分!A:A,A93)</f>
        <v>0</v>
      </c>
      <c r="C93" s="24">
        <f>50*COUNTIF(帮战总榜!A$1:AB$150,$A93)+40*COUNTIF(掠夺!A$1:AB$150,$A93)</f>
        <v>0</v>
      </c>
      <c r="D93" s="24">
        <f>20*COUNTIF(YY统计!A$2:M$150,$A93)</f>
        <v>0</v>
      </c>
      <c r="E93" s="24">
        <f>SUM(B93:D93)</f>
        <v>0</v>
      </c>
      <c r="F93" s="24">
        <f>IF(AND(E93&gt;=16,E93&lt;66),0.01,ROUNDDOWN((E93-16)/50,0))</f>
        <v>0</v>
      </c>
      <c r="G93" s="13">
        <f>IF(AND(F93&gt;=1,F93&lt;=6),E93-F93*50-16,IF(F93=0.01,E93-16,IF(F93=0,0,IF(F93&gt;6,E93-316,0))))</f>
        <v>0</v>
      </c>
    </row>
    <row r="94" spans="1:7" ht="16.5">
      <c r="A94" s="14" t="s">
        <v>439</v>
      </c>
      <c r="B94" s="4">
        <f>VLOOKUP(A94,联盟DKP榜单!A$1:C$598,3,FALSE)-40*COUNTIF(扣分!A:A,A94)</f>
        <v>0</v>
      </c>
      <c r="C94" s="24">
        <f>50*COUNTIF(帮战总榜!A$1:AB$150,$A94)+40*COUNTIF(掠夺!A$1:AB$150,$A94)</f>
        <v>0</v>
      </c>
      <c r="D94" s="24">
        <f>20*COUNTIF(YY统计!A$2:M$150,$A94)</f>
        <v>0</v>
      </c>
      <c r="E94" s="24">
        <f>SUM(B94:D94)</f>
        <v>0</v>
      </c>
      <c r="F94" s="24">
        <f>IF(AND(E94&gt;=16,E94&lt;66),0.01,ROUNDDOWN((E94-16)/50,0))</f>
        <v>0</v>
      </c>
      <c r="G94" s="13">
        <f>IF(AND(F94&gt;=1,F94&lt;=6),E94-F94*50-16,IF(F94=0.01,E94-16,IF(F94=0,0,IF(F94&gt;6,E94-316,0))))</f>
        <v>0</v>
      </c>
    </row>
    <row r="95" spans="1:7" ht="16.5">
      <c r="A95" s="14" t="s">
        <v>249</v>
      </c>
      <c r="B95" s="4">
        <f>VLOOKUP(A95,联盟DKP榜单!A$1:C$598,3,FALSE)-40*COUNTIF(扣分!A:A,A95)</f>
        <v>0</v>
      </c>
      <c r="C95" s="24">
        <f>50*COUNTIF(帮战总榜!A$1:AB$150,$A95)+40*COUNTIF(掠夺!A$1:AB$150,$A95)</f>
        <v>0</v>
      </c>
      <c r="D95" s="24">
        <f>20*COUNTIF(YY统计!A$2:M$150,$A95)</f>
        <v>0</v>
      </c>
      <c r="E95" s="24">
        <f>SUM(B95:D95)</f>
        <v>0</v>
      </c>
      <c r="F95" s="24">
        <f>IF(AND(E95&gt;=16,E95&lt;66),0.01,ROUNDDOWN((E95-16)/50,0))</f>
        <v>0</v>
      </c>
      <c r="G95" s="13">
        <f>IF(AND(F95&gt;=1,F95&lt;=6),E95-F95*50-16,IF(F95=0.01,E95-16,IF(F95=0,0,IF(F95&gt;6,E95-316,0))))</f>
        <v>0</v>
      </c>
    </row>
    <row r="96" spans="1:7" ht="16.5">
      <c r="A96" s="14" t="s">
        <v>145</v>
      </c>
      <c r="B96" s="4">
        <f>VLOOKUP(A96,联盟DKP榜单!A$1:C$598,3,FALSE)-40*COUNTIF(扣分!A:A,A96)</f>
        <v>0</v>
      </c>
      <c r="C96" s="24">
        <f>50*COUNTIF(帮战总榜!A$1:AB$150,$A96)+40*COUNTIF(掠夺!A$1:AB$150,$A96)</f>
        <v>0</v>
      </c>
      <c r="D96" s="24">
        <f>20*COUNTIF(YY统计!A$2:M$150,$A96)</f>
        <v>0</v>
      </c>
      <c r="E96" s="24">
        <f>SUM(B96:D96)</f>
        <v>0</v>
      </c>
      <c r="F96" s="24">
        <f>IF(AND(E96&gt;=16,E96&lt;66),0.01,ROUNDDOWN((E96-16)/50,0))</f>
        <v>0</v>
      </c>
      <c r="G96" s="13">
        <f>IF(AND(F96&gt;=1,F96&lt;=6),E96-F96*50-16,IF(F96=0.01,E96-16,IF(F96=0,0,IF(F96&gt;6,E96-316,0))))</f>
        <v>0</v>
      </c>
    </row>
    <row r="97" spans="1:7" ht="16.5">
      <c r="A97" s="14" t="s">
        <v>250</v>
      </c>
      <c r="B97" s="4">
        <f>VLOOKUP(A97,联盟DKP榜单!A$1:C$598,3,FALSE)-40*COUNTIF(扣分!A:A,A97)</f>
        <v>0</v>
      </c>
      <c r="C97" s="24">
        <f>50*COUNTIF(帮战总榜!A$1:AB$150,$A97)+40*COUNTIF(掠夺!A$1:AB$150,$A97)</f>
        <v>0</v>
      </c>
      <c r="D97" s="24">
        <f>20*COUNTIF(YY统计!A$2:M$150,$A97)</f>
        <v>0</v>
      </c>
      <c r="E97" s="24">
        <f>SUM(B97:D97)</f>
        <v>0</v>
      </c>
      <c r="F97" s="24">
        <f>IF(AND(E97&gt;=16,E97&lt;66),0.01,ROUNDDOWN((E97-16)/50,0))</f>
        <v>0</v>
      </c>
      <c r="G97" s="13">
        <f>IF(AND(F97&gt;=1,F97&lt;=6),E97-F97*50-16,IF(F97=0.01,E97-16,IF(F97=0,0,IF(F97&gt;6,E97-316,0))))</f>
        <v>0</v>
      </c>
    </row>
    <row r="98" spans="1:7" ht="16.5">
      <c r="A98" s="14" t="s">
        <v>251</v>
      </c>
      <c r="B98" s="4">
        <f>VLOOKUP(A98,联盟DKP榜单!A$1:C$598,3,FALSE)-40*COUNTIF(扣分!A:A,A98)</f>
        <v>0</v>
      </c>
      <c r="C98" s="24">
        <f>50*COUNTIF(帮战总榜!A$1:AB$150,$A98)+40*COUNTIF(掠夺!A$1:AB$150,$A98)</f>
        <v>0</v>
      </c>
      <c r="D98" s="24">
        <f>20*COUNTIF(YY统计!A$2:M$150,$A98)</f>
        <v>0</v>
      </c>
      <c r="E98" s="24">
        <f>SUM(B98:D98)</f>
        <v>0</v>
      </c>
      <c r="F98" s="24">
        <f>IF(AND(E98&gt;=16,E98&lt;66),0.01,ROUNDDOWN((E98-16)/50,0))</f>
        <v>0</v>
      </c>
      <c r="G98" s="13">
        <f>IF(AND(F98&gt;=1,F98&lt;=6),E98-F98*50-16,IF(F98=0.01,E98-16,IF(F98=0,0,IF(F98&gt;6,E98-316,0))))</f>
        <v>0</v>
      </c>
    </row>
    <row r="99" spans="1:7" ht="16.5">
      <c r="A99" s="14" t="s">
        <v>252</v>
      </c>
      <c r="B99" s="4">
        <f>VLOOKUP(A99,联盟DKP榜单!A$1:C$598,3,FALSE)-40*COUNTIF(扣分!A:A,A99)</f>
        <v>0</v>
      </c>
      <c r="C99" s="24">
        <f>50*COUNTIF(帮战总榜!A$1:AB$150,$A99)+40*COUNTIF(掠夺!A$1:AB$150,$A99)</f>
        <v>0</v>
      </c>
      <c r="D99" s="24">
        <f>20*COUNTIF(YY统计!A$2:M$150,$A99)</f>
        <v>0</v>
      </c>
      <c r="E99" s="24">
        <f>SUM(B99:D99)</f>
        <v>0</v>
      </c>
      <c r="F99" s="24">
        <f>IF(AND(E99&gt;=16,E99&lt;66),0.01,ROUNDDOWN((E99-16)/50,0))</f>
        <v>0</v>
      </c>
      <c r="G99" s="13">
        <f>IF(AND(F99&gt;=1,F99&lt;=6),E99-F99*50-16,IF(F99=0.01,E99-16,IF(F99=0,0,IF(F99&gt;6,E99-316,0))))</f>
        <v>0</v>
      </c>
    </row>
    <row r="100" spans="1:7" ht="16.5">
      <c r="A100" s="14" t="s">
        <v>503</v>
      </c>
      <c r="B100" s="4">
        <f>VLOOKUP(A100,联盟DKP榜单!A$1:C$598,3,FALSE)-40*COUNTIF(扣分!A:A,A100)</f>
        <v>0</v>
      </c>
      <c r="C100" s="24">
        <f>50*COUNTIF(帮战总榜!A$1:AB$150,$A100)+40*COUNTIF(掠夺!A$1:AB$150,$A100)</f>
        <v>0</v>
      </c>
      <c r="D100" s="24">
        <f>20*COUNTIF(YY统计!A$2:M$150,$A100)</f>
        <v>0</v>
      </c>
      <c r="E100" s="24">
        <f>SUM(B100:D100)</f>
        <v>0</v>
      </c>
      <c r="F100" s="24">
        <f>IF(AND(E100&gt;=16,E100&lt;66),0.01,ROUNDDOWN((E100-16)/50,0))</f>
        <v>0</v>
      </c>
      <c r="G100" s="13">
        <f>IF(AND(F100&gt;=1,F100&lt;=6),E100-F100*50-16,IF(F100=0.01,E100-16,IF(F100=0,0,IF(F100&gt;6,E100-316,0))))</f>
        <v>0</v>
      </c>
    </row>
    <row r="101" spans="1:7" ht="16.5">
      <c r="A101" s="14" t="s">
        <v>253</v>
      </c>
      <c r="B101" s="4">
        <f>VLOOKUP(A101,联盟DKP榜单!A$1:C$598,3,FALSE)-40*COUNTIF(扣分!A:A,A101)</f>
        <v>0</v>
      </c>
      <c r="C101" s="24">
        <f>50*COUNTIF(帮战总榜!A$1:AB$150,$A101)+40*COUNTIF(掠夺!A$1:AB$150,$A101)</f>
        <v>0</v>
      </c>
      <c r="D101" s="24">
        <f>20*COUNTIF(YY统计!A$2:M$150,$A101)</f>
        <v>0</v>
      </c>
      <c r="E101" s="24">
        <f>SUM(B101:D101)</f>
        <v>0</v>
      </c>
      <c r="F101" s="24">
        <f>IF(AND(E101&gt;=16,E101&lt;66),0.01,ROUNDDOWN((E101-16)/50,0))</f>
        <v>0</v>
      </c>
      <c r="G101" s="13">
        <f>IF(AND(F101&gt;=1,F101&lt;=6),E101-F101*50-16,IF(F101=0.01,E101-16,IF(F101=0,0,IF(F101&gt;6,E101-316,0))))</f>
        <v>0</v>
      </c>
    </row>
    <row r="102" spans="1:7" ht="16.5">
      <c r="A102" s="14" t="s">
        <v>254</v>
      </c>
      <c r="B102" s="4">
        <f>VLOOKUP(A102,联盟DKP榜单!A$1:C$598,3,FALSE)-40*COUNTIF(扣分!A:A,A102)</f>
        <v>0</v>
      </c>
      <c r="C102" s="24">
        <f>50*COUNTIF(帮战总榜!A$1:AB$150,$A102)+40*COUNTIF(掠夺!A$1:AB$150,$A102)</f>
        <v>0</v>
      </c>
      <c r="D102" s="24">
        <f>20*COUNTIF(YY统计!A$2:M$150,$A102)</f>
        <v>0</v>
      </c>
      <c r="E102" s="24">
        <f>SUM(B102:D102)</f>
        <v>0</v>
      </c>
      <c r="F102" s="24">
        <f>IF(AND(E102&gt;=16,E102&lt;66),0.01,ROUNDDOWN((E102-16)/50,0))</f>
        <v>0</v>
      </c>
      <c r="G102" s="13">
        <f>IF(AND(F102&gt;=1,F102&lt;=6),E102-F102*50-16,IF(F102=0.01,E102-16,IF(F102=0,0,IF(F102&gt;6,E102-316,0))))</f>
        <v>0</v>
      </c>
    </row>
    <row r="103" spans="1:7" ht="16.5">
      <c r="A103" s="14" t="s">
        <v>255</v>
      </c>
      <c r="B103" s="4">
        <f>VLOOKUP(A103,联盟DKP榜单!A$1:C$598,3,FALSE)-40*COUNTIF(扣分!A:A,A103)</f>
        <v>0</v>
      </c>
      <c r="C103" s="24">
        <f>50*COUNTIF(帮战总榜!A$1:AB$150,$A103)+40*COUNTIF(掠夺!A$1:AB$150,$A103)</f>
        <v>0</v>
      </c>
      <c r="D103" s="24">
        <f>20*COUNTIF(YY统计!A$2:M$150,$A103)</f>
        <v>0</v>
      </c>
      <c r="E103" s="24">
        <f>SUM(B103:D103)</f>
        <v>0</v>
      </c>
      <c r="F103" s="24">
        <f>IF(AND(E103&gt;=16,E103&lt;66),0.01,ROUNDDOWN((E103-16)/50,0))</f>
        <v>0</v>
      </c>
      <c r="G103" s="13">
        <f>IF(AND(F103&gt;=1,F103&lt;=6),E103-F103*50-16,IF(F103=0.01,E103-16,IF(F103=0,0,IF(F103&gt;6,E103-316,0))))</f>
        <v>0</v>
      </c>
    </row>
    <row r="104" spans="1:7" ht="16.5">
      <c r="A104" s="14" t="s">
        <v>231</v>
      </c>
      <c r="B104" s="4">
        <f>VLOOKUP(A104,联盟DKP榜单!A$1:C$598,3,FALSE)-40*COUNTIF(扣分!A:A,A104)</f>
        <v>0</v>
      </c>
      <c r="C104" s="24">
        <f>50*COUNTIF(帮战总榜!A$1:AB$150,$A104)+40*COUNTIF(掠夺!A$1:AB$150,$A104)</f>
        <v>0</v>
      </c>
      <c r="D104" s="24">
        <f>20*COUNTIF(YY统计!A$2:M$150,$A104)</f>
        <v>0</v>
      </c>
      <c r="E104" s="24">
        <f>SUM(B104:D104)</f>
        <v>0</v>
      </c>
      <c r="F104" s="24">
        <f>IF(AND(E104&gt;=16,E104&lt;66),0.01,ROUNDDOWN((E104-16)/50,0))</f>
        <v>0</v>
      </c>
      <c r="G104" s="13">
        <f>IF(AND(F104&gt;=1,F104&lt;=6),E104-F104*50-16,IF(F104=0.01,E104-16,IF(F104=0,0,IF(F104&gt;6,E104-316,0))))</f>
        <v>0</v>
      </c>
    </row>
    <row r="105" spans="1:7" ht="16.5">
      <c r="A105" s="14" t="s">
        <v>230</v>
      </c>
      <c r="B105" s="4">
        <f>VLOOKUP(A105,联盟DKP榜单!A$1:C$598,3,FALSE)-40*COUNTIF(扣分!A:A,A105)</f>
        <v>0</v>
      </c>
      <c r="C105" s="24">
        <f>50*COUNTIF(帮战总榜!A$1:AB$150,$A105)+40*COUNTIF(掠夺!A$1:AB$150,$A105)</f>
        <v>0</v>
      </c>
      <c r="D105" s="24">
        <f>20*COUNTIF(YY统计!A$2:M$150,$A105)</f>
        <v>0</v>
      </c>
      <c r="E105" s="24">
        <f>SUM(B105:D105)</f>
        <v>0</v>
      </c>
      <c r="F105" s="24">
        <f>IF(AND(E105&gt;=16,E105&lt;66),0.01,ROUNDDOWN((E105-16)/50,0))</f>
        <v>0</v>
      </c>
      <c r="G105" s="13">
        <f>IF(AND(F105&gt;=1,F105&lt;=6),E105-F105*50-16,IF(F105=0.01,E105-16,IF(F105=0,0,IF(F105&gt;6,E105-316,0))))</f>
        <v>0</v>
      </c>
    </row>
    <row r="106" spans="1:7" ht="16.5">
      <c r="A106" s="14" t="s">
        <v>233</v>
      </c>
      <c r="B106" s="4">
        <f>VLOOKUP(A106,联盟DKP榜单!A$1:C$598,3,FALSE)-40*COUNTIF(扣分!A:A,A106)</f>
        <v>0</v>
      </c>
      <c r="C106" s="24">
        <f>50*COUNTIF(帮战总榜!A$1:AB$150,$A106)+40*COUNTIF(掠夺!A$1:AB$150,$A106)</f>
        <v>0</v>
      </c>
      <c r="D106" s="24">
        <f>20*COUNTIF(YY统计!A$2:M$150,$A106)</f>
        <v>0</v>
      </c>
      <c r="E106" s="24">
        <f>SUM(B106:D106)</f>
        <v>0</v>
      </c>
      <c r="F106" s="24">
        <f>IF(AND(E106&gt;=16,E106&lt;66),0.01,ROUNDDOWN((E106-16)/50,0))</f>
        <v>0</v>
      </c>
      <c r="G106" s="13">
        <f>IF(AND(F106&gt;=1,F106&lt;=6),E106-F106*50-16,IF(F106=0.01,E106-16,IF(F106=0,0,IF(F106&gt;6,E106-316,0))))</f>
        <v>0</v>
      </c>
    </row>
    <row r="107" spans="1:7" ht="16.5">
      <c r="A107" s="14" t="s">
        <v>178</v>
      </c>
      <c r="B107" s="4">
        <f>VLOOKUP(A107,联盟DKP榜单!A$1:C$598,3,FALSE)-40*COUNTIF(扣分!A:A,A107)</f>
        <v>0</v>
      </c>
      <c r="C107" s="24">
        <f>50*COUNTIF(帮战总榜!A$1:AB$150,$A107)+40*COUNTIF(掠夺!A$1:AB$150,$A107)</f>
        <v>0</v>
      </c>
      <c r="D107" s="24">
        <f>20*COUNTIF(YY统计!A$2:M$150,$A107)</f>
        <v>0</v>
      </c>
      <c r="E107" s="24">
        <f>SUM(B107:D107)</f>
        <v>0</v>
      </c>
      <c r="F107" s="24">
        <f>IF(AND(E107&gt;=16,E107&lt;66),0.01,ROUNDDOWN((E107-16)/50,0))</f>
        <v>0</v>
      </c>
      <c r="G107" s="13">
        <f>IF(AND(F107&gt;=1,F107&lt;=6),E107-F107*50-16,IF(F107=0.01,E107-16,IF(F107=0,0,IF(F107&gt;6,E107-316,0))))</f>
        <v>0</v>
      </c>
    </row>
    <row r="108" spans="1:7" ht="16.5">
      <c r="A108" s="14" t="s">
        <v>438</v>
      </c>
      <c r="B108" s="4">
        <f>VLOOKUP(A108,联盟DKP榜单!A$1:C$598,3,FALSE)-40*COUNTIF(扣分!A:A,A108)</f>
        <v>0</v>
      </c>
      <c r="C108" s="24">
        <f>50*COUNTIF(帮战总榜!A$1:AB$150,$A108)+40*COUNTIF(掠夺!A$1:AB$150,$A108)</f>
        <v>0</v>
      </c>
      <c r="D108" s="24">
        <f>20*COUNTIF(YY统计!A$2:M$150,$A108)</f>
        <v>0</v>
      </c>
      <c r="E108" s="24">
        <f>SUM(B108:D108)</f>
        <v>0</v>
      </c>
      <c r="F108" s="24">
        <f>IF(AND(E108&gt;=16,E108&lt;66),0.01,ROUNDDOWN((E108-16)/50,0))</f>
        <v>0</v>
      </c>
      <c r="G108" s="13">
        <f>IF(AND(F108&gt;=1,F108&lt;=6),E108-F108*50-16,IF(F108=0.01,E108-16,IF(F108=0,0,IF(F108&gt;6,E108-316,0))))</f>
        <v>0</v>
      </c>
    </row>
    <row r="109" spans="1:7" ht="16.5">
      <c r="A109" s="14" t="s">
        <v>234</v>
      </c>
      <c r="B109" s="4">
        <f>VLOOKUP(A109,联盟DKP榜单!A$1:C$598,3,FALSE)-40*COUNTIF(扣分!A:A,A109)</f>
        <v>0</v>
      </c>
      <c r="C109" s="24">
        <f>50*COUNTIF(帮战总榜!A$1:AB$150,$A109)+40*COUNTIF(掠夺!A$1:AB$150,$A109)</f>
        <v>0</v>
      </c>
      <c r="D109" s="24">
        <f>20*COUNTIF(YY统计!A$2:M$150,$A109)</f>
        <v>0</v>
      </c>
      <c r="E109" s="24">
        <f>SUM(B109:D109)</f>
        <v>0</v>
      </c>
      <c r="F109" s="24">
        <f>IF(AND(E109&gt;=16,E109&lt;66),0.01,ROUNDDOWN((E109-16)/50,0))</f>
        <v>0</v>
      </c>
      <c r="G109" s="13">
        <f>IF(AND(F109&gt;=1,F109&lt;=6),E109-F109*50-16,IF(F109=0.01,E109-16,IF(F109=0,0,IF(F109&gt;6,E109-316,0))))</f>
        <v>0</v>
      </c>
    </row>
    <row r="110" spans="1:7" ht="16.5">
      <c r="A110" s="14" t="s">
        <v>546</v>
      </c>
      <c r="B110" s="4">
        <f>VLOOKUP(A110,联盟DKP榜单!A$1:C$598,3,FALSE)-40*COUNTIF(扣分!A:A,A110)</f>
        <v>0</v>
      </c>
      <c r="C110" s="24">
        <f>50*COUNTIF(帮战总榜!A$1:AB$150,$A110)+40*COUNTIF(掠夺!A$1:AB$150,$A110)</f>
        <v>0</v>
      </c>
      <c r="D110" s="24">
        <f>20*COUNTIF(YY统计!A$2:M$150,$A110)</f>
        <v>0</v>
      </c>
      <c r="E110" s="24">
        <f>SUM(B110:D110)</f>
        <v>0</v>
      </c>
      <c r="F110" s="24">
        <f>IF(AND(E110&gt;=16,E110&lt;66),0.01,ROUNDDOWN((E110-16)/50,0))</f>
        <v>0</v>
      </c>
      <c r="G110" s="13">
        <f>IF(AND(F110&gt;=1,F110&lt;=6),E110-F110*50-16,IF(F110=0.01,E110-16,IF(F110=0,0,IF(F110&gt;6,E110-316,0))))</f>
        <v>0</v>
      </c>
    </row>
    <row r="111" spans="1:7" ht="16.5">
      <c r="A111" s="14" t="s">
        <v>235</v>
      </c>
      <c r="B111" s="4">
        <f>VLOOKUP(A111,联盟DKP榜单!A$1:C$598,3,FALSE)-40*COUNTIF(扣分!A:A,A111)</f>
        <v>0</v>
      </c>
      <c r="C111" s="24">
        <f>50*COUNTIF(帮战总榜!A$1:AB$150,$A111)+40*COUNTIF(掠夺!A$1:AB$150,$A111)</f>
        <v>0</v>
      </c>
      <c r="D111" s="24">
        <f>20*COUNTIF(YY统计!A$2:M$150,$A111)</f>
        <v>0</v>
      </c>
      <c r="E111" s="24">
        <f>SUM(B111:D111)</f>
        <v>0</v>
      </c>
      <c r="F111" s="24">
        <f>IF(AND(E111&gt;=16,E111&lt;66),0.01,ROUNDDOWN((E111-16)/50,0))</f>
        <v>0</v>
      </c>
      <c r="G111" s="13">
        <f>IF(AND(F111&gt;=1,F111&lt;=6),E111-F111*50-16,IF(F111=0.01,E111-16,IF(F111=0,0,IF(F111&gt;6,E111-316,0))))</f>
        <v>0</v>
      </c>
    </row>
    <row r="112" spans="1:7" ht="16.5">
      <c r="A112" s="14" t="s">
        <v>229</v>
      </c>
      <c r="B112" s="4">
        <f>VLOOKUP(A112,联盟DKP榜单!A$1:C$598,3,FALSE)-40*COUNTIF(扣分!A:A,A112)</f>
        <v>0</v>
      </c>
      <c r="C112" s="24">
        <f>50*COUNTIF(帮战总榜!A$1:AB$150,$A112)+40*COUNTIF(掠夺!A$1:AB$150,$A112)</f>
        <v>0</v>
      </c>
      <c r="D112" s="24">
        <f>20*COUNTIF(YY统计!A$2:M$150,$A112)</f>
        <v>0</v>
      </c>
      <c r="E112" s="24">
        <f>SUM(B112:D112)</f>
        <v>0</v>
      </c>
      <c r="F112" s="24">
        <f>IF(AND(E112&gt;=16,E112&lt;66),0.01,ROUNDDOWN((E112-16)/50,0))</f>
        <v>0</v>
      </c>
      <c r="G112" s="13">
        <f>IF(AND(F112&gt;=1,F112&lt;=6),E112-F112*50-16,IF(F112=0.01,E112-16,IF(F112=0,0,IF(F112&gt;6,E112-316,0))))</f>
        <v>0</v>
      </c>
    </row>
    <row r="113" spans="1:7" ht="16.5">
      <c r="A113" s="14" t="s">
        <v>228</v>
      </c>
      <c r="B113" s="4">
        <f>VLOOKUP(A113,联盟DKP榜单!A$1:C$598,3,FALSE)-40*COUNTIF(扣分!A:A,A113)</f>
        <v>0</v>
      </c>
      <c r="C113" s="24">
        <f>50*COUNTIF(帮战总榜!A$1:AB$150,$A113)+40*COUNTIF(掠夺!A$1:AB$150,$A113)</f>
        <v>0</v>
      </c>
      <c r="D113" s="24">
        <f>20*COUNTIF(YY统计!A$2:M$150,$A113)</f>
        <v>0</v>
      </c>
      <c r="E113" s="24">
        <f>SUM(B113:D113)</f>
        <v>0</v>
      </c>
      <c r="F113" s="24">
        <f>IF(AND(E113&gt;=16,E113&lt;66),0.01,ROUNDDOWN((E113-16)/50,0))</f>
        <v>0</v>
      </c>
      <c r="G113" s="13">
        <f>IF(AND(F113&gt;=1,F113&lt;=6),E113-F113*50-16,IF(F113=0.01,E113-16,IF(F113=0,0,IF(F113&gt;6,E113-316,0))))</f>
        <v>0</v>
      </c>
    </row>
    <row r="114" spans="1:7" ht="16.5">
      <c r="A114" s="14" t="s">
        <v>227</v>
      </c>
      <c r="B114" s="4">
        <f>VLOOKUP(A114,联盟DKP榜单!A$1:C$598,3,FALSE)-40*COUNTIF(扣分!A:A,A114)</f>
        <v>0</v>
      </c>
      <c r="C114" s="24">
        <f>50*COUNTIF(帮战总榜!A$1:AB$150,$A114)+40*COUNTIF(掠夺!A$1:AB$150,$A114)</f>
        <v>0</v>
      </c>
      <c r="D114" s="24">
        <f>20*COUNTIF(YY统计!A$2:M$150,$A114)</f>
        <v>0</v>
      </c>
      <c r="E114" s="24">
        <f>SUM(B114:D114)</f>
        <v>0</v>
      </c>
      <c r="F114" s="24">
        <f>IF(AND(E114&gt;=16,E114&lt;66),0.01,ROUNDDOWN((E114-16)/50,0))</f>
        <v>0</v>
      </c>
      <c r="G114" s="13">
        <f>IF(AND(F114&gt;=1,F114&lt;=6),E114-F114*50-16,IF(F114=0.01,E114-16,IF(F114=0,0,IF(F114&gt;6,E114-316,0))))</f>
        <v>0</v>
      </c>
    </row>
    <row r="115" spans="1:7" ht="16.5">
      <c r="A115" s="14" t="s">
        <v>236</v>
      </c>
      <c r="B115" s="4">
        <f>VLOOKUP(A115,联盟DKP榜单!A$1:C$598,3,FALSE)-40*COUNTIF(扣分!A:A,A115)</f>
        <v>0</v>
      </c>
      <c r="C115" s="24">
        <f>50*COUNTIF(帮战总榜!A$1:AB$150,$A115)+40*COUNTIF(掠夺!A$1:AB$150,$A115)</f>
        <v>0</v>
      </c>
      <c r="D115" s="24">
        <f>20*COUNTIF(YY统计!A$2:M$150,$A115)</f>
        <v>0</v>
      </c>
      <c r="E115" s="24">
        <f>SUM(B115:D115)</f>
        <v>0</v>
      </c>
      <c r="F115" s="24">
        <f>IF(AND(E115&gt;=16,E115&lt;66),0.01,ROUNDDOWN((E115-16)/50,0))</f>
        <v>0</v>
      </c>
      <c r="G115" s="13">
        <f>IF(AND(F115&gt;=1,F115&lt;=6),E115-F115*50-16,IF(F115=0.01,E115-16,IF(F115=0,0,IF(F115&gt;6,E115-316,0))))</f>
        <v>0</v>
      </c>
    </row>
    <row r="116" spans="1:7" ht="16.5">
      <c r="A116" s="14" t="s">
        <v>226</v>
      </c>
      <c r="B116" s="4">
        <f>VLOOKUP(A116,联盟DKP榜单!A$1:C$598,3,FALSE)-40*COUNTIF(扣分!A:A,A116)</f>
        <v>0</v>
      </c>
      <c r="C116" s="24">
        <f>50*COUNTIF(帮战总榜!A$1:AB$150,$A116)+40*COUNTIF(掠夺!A$1:AB$150,$A116)</f>
        <v>0</v>
      </c>
      <c r="D116" s="24">
        <f>20*COUNTIF(YY统计!A$2:M$150,$A116)</f>
        <v>0</v>
      </c>
      <c r="E116" s="24">
        <f>SUM(B116:D116)</f>
        <v>0</v>
      </c>
      <c r="F116" s="24">
        <f>IF(AND(E116&gt;=16,E116&lt;66),0.01,ROUNDDOWN((E116-16)/50,0))</f>
        <v>0</v>
      </c>
      <c r="G116" s="13">
        <f>IF(AND(F116&gt;=1,F116&lt;=6),E116-F116*50-16,IF(F116=0.01,E116-16,IF(F116=0,0,IF(F116&gt;6,E116-316,0))))</f>
        <v>0</v>
      </c>
    </row>
    <row r="117" spans="1:7" ht="16.5">
      <c r="A117" s="14" t="s">
        <v>545</v>
      </c>
      <c r="B117" s="4">
        <f>VLOOKUP(A117,联盟DKP榜单!A$1:C$598,3,FALSE)-40*COUNTIF(扣分!A:A,A117)</f>
        <v>0</v>
      </c>
      <c r="C117" s="24">
        <f>50*COUNTIF(帮战总榜!A$1:AB$150,$A117)+40*COUNTIF(掠夺!A$1:AB$150,$A117)</f>
        <v>0</v>
      </c>
      <c r="D117" s="24">
        <f>20*COUNTIF(YY统计!A$2:M$150,$A117)</f>
        <v>0</v>
      </c>
      <c r="E117" s="24">
        <f>SUM(B117:D117)</f>
        <v>0</v>
      </c>
      <c r="F117" s="24">
        <f>IF(AND(E117&gt;=16,E117&lt;66),0.01,ROUNDDOWN((E117-16)/50,0))</f>
        <v>0</v>
      </c>
      <c r="G117" s="13">
        <f>IF(AND(F117&gt;=1,F117&lt;=6),E117-F117*50-16,IF(F117=0.01,E117-16,IF(F117=0,0,IF(F117&gt;6,E117-316,0))))</f>
        <v>0</v>
      </c>
    </row>
    <row r="118" spans="1:7" ht="16.5">
      <c r="A118" s="14" t="s">
        <v>225</v>
      </c>
      <c r="B118" s="4">
        <f>VLOOKUP(A118,联盟DKP榜单!A$1:C$598,3,FALSE)-40*COUNTIF(扣分!A:A,A118)</f>
        <v>0</v>
      </c>
      <c r="C118" s="24">
        <f>50*COUNTIF(帮战总榜!A$1:AB$150,$A118)+40*COUNTIF(掠夺!A$1:AB$150,$A118)</f>
        <v>0</v>
      </c>
      <c r="D118" s="24">
        <f>20*COUNTIF(YY统计!A$2:M$150,$A118)</f>
        <v>0</v>
      </c>
      <c r="E118" s="24">
        <f>SUM(B118:D118)</f>
        <v>0</v>
      </c>
      <c r="F118" s="24">
        <f>IF(AND(E118&gt;=16,E118&lt;66),0.01,ROUNDDOWN((E118-16)/50,0))</f>
        <v>0</v>
      </c>
      <c r="G118" s="13">
        <f>IF(AND(F118&gt;=1,F118&lt;=6),E118-F118*50-16,IF(F118=0.01,E118-16,IF(F118=0,0,IF(F118&gt;6,E118-316,0))))</f>
        <v>0</v>
      </c>
    </row>
    <row r="119" spans="1:7" ht="16.5">
      <c r="A119" s="14" t="s">
        <v>603</v>
      </c>
      <c r="B119" s="4">
        <f>VLOOKUP(A119,联盟DKP榜单!A$1:C$598,3,FALSE)-40*COUNTIF(扣分!A:A,A119)</f>
        <v>0</v>
      </c>
      <c r="C119" s="24">
        <f>50*COUNTIF(帮战总榜!A$1:AB$150,$A119)+40*COUNTIF(掠夺!A$1:AB$150,$A119)</f>
        <v>0</v>
      </c>
      <c r="D119" s="24">
        <f>20*COUNTIF(YY统计!A$2:M$150,$A119)</f>
        <v>0</v>
      </c>
      <c r="E119" s="24">
        <f>SUM(B119:D119)</f>
        <v>0</v>
      </c>
      <c r="F119" s="24">
        <f>IF(AND(E119&gt;=16,E119&lt;66),0.01,ROUNDDOWN((E119-16)/50,0))</f>
        <v>0</v>
      </c>
      <c r="G119" s="13">
        <f>IF(AND(F119&gt;=1,F119&lt;=6),E119-F119*50-16,IF(F119=0.01,E119-16,IF(F119=0,0,IF(F119&gt;6,E119-316,0))))</f>
        <v>0</v>
      </c>
    </row>
    <row r="120" spans="1:7" ht="16.5">
      <c r="A120" s="14" t="s">
        <v>240</v>
      </c>
      <c r="B120" s="4">
        <f>VLOOKUP(A120,联盟DKP榜单!A$1:C$598,3,FALSE)-40*COUNTIF(扣分!A:A,A120)</f>
        <v>0</v>
      </c>
      <c r="C120" s="24">
        <f>50*COUNTIF(帮战总榜!A$1:AB$150,$A120)+40*COUNTIF(掠夺!A$1:AB$150,$A120)</f>
        <v>0</v>
      </c>
      <c r="D120" s="24">
        <f>20*COUNTIF(YY统计!A$2:M$150,$A120)</f>
        <v>0</v>
      </c>
      <c r="E120" s="24">
        <f>SUM(B120:D120)</f>
        <v>0</v>
      </c>
      <c r="F120" s="24">
        <f>IF(AND(E120&gt;=16,E120&lt;66),0.01,ROUNDDOWN((E120-16)/50,0))</f>
        <v>0</v>
      </c>
      <c r="G120" s="13">
        <f>IF(AND(F120&gt;=1,F120&lt;=6),E120-F120*50-16,IF(F120=0.01,E120-16,IF(F120=0,0,IF(F120&gt;6,E120-316,0))))</f>
        <v>0</v>
      </c>
    </row>
    <row r="121" spans="1:7" ht="16.5">
      <c r="A121" s="14" t="s">
        <v>224</v>
      </c>
      <c r="B121" s="4">
        <f>VLOOKUP(A121,联盟DKP榜单!A$1:C$598,3,FALSE)-40*COUNTIF(扣分!A:A,A121)</f>
        <v>0</v>
      </c>
      <c r="C121" s="24">
        <f>50*COUNTIF(帮战总榜!A$1:AB$150,$A121)+40*COUNTIF(掠夺!A$1:AB$150,$A121)</f>
        <v>0</v>
      </c>
      <c r="D121" s="24">
        <f>20*COUNTIF(YY统计!A$2:M$150,$A121)</f>
        <v>0</v>
      </c>
      <c r="E121" s="24">
        <f>SUM(B121:D121)</f>
        <v>0</v>
      </c>
      <c r="F121" s="24">
        <f>IF(AND(E121&gt;=16,E121&lt;66),0.01,ROUNDDOWN((E121-16)/50,0))</f>
        <v>0</v>
      </c>
      <c r="G121" s="13">
        <f>IF(AND(F121&gt;=1,F121&lt;=6),E121-F121*50-16,IF(F121=0.01,E121-16,IF(F121=0,0,IF(F121&gt;6,E121-316,0))))</f>
        <v>0</v>
      </c>
    </row>
    <row r="122" spans="1:7" ht="16.5">
      <c r="A122" s="14" t="s">
        <v>190</v>
      </c>
      <c r="B122" s="4">
        <f>VLOOKUP(A122,联盟DKP榜单!A$1:C$598,3,FALSE)-40*COUNTIF(扣分!A:A,A122)</f>
        <v>0</v>
      </c>
      <c r="C122" s="24">
        <f>50*COUNTIF(帮战总榜!A$1:AB$150,$A122)+40*COUNTIF(掠夺!A$1:AB$150,$A122)</f>
        <v>0</v>
      </c>
      <c r="D122" s="24">
        <f>20*COUNTIF(YY统计!A$2:M$150,$A122)</f>
        <v>0</v>
      </c>
      <c r="E122" s="24">
        <f>SUM(B122:D122)</f>
        <v>0</v>
      </c>
      <c r="F122" s="24">
        <f>IF(AND(E122&gt;=16,E122&lt;66),0.01,ROUNDDOWN((E122-16)/50,0))</f>
        <v>0</v>
      </c>
      <c r="G122" s="13">
        <f>IF(AND(F122&gt;=1,F122&lt;=6),E122-F122*50-16,IF(F122=0.01,E122-16,IF(F122=0,0,IF(F122&gt;6,E122-316,0))))</f>
        <v>0</v>
      </c>
    </row>
    <row r="123" spans="1:7" ht="16.5">
      <c r="A123" s="14" t="s">
        <v>191</v>
      </c>
      <c r="B123" s="4">
        <f>VLOOKUP(A123,联盟DKP榜单!A$1:C$598,3,FALSE)-40*COUNTIF(扣分!A:A,A123)</f>
        <v>0</v>
      </c>
      <c r="C123" s="24">
        <f>50*COUNTIF(帮战总榜!A$1:AB$150,$A123)+40*COUNTIF(掠夺!A$1:AB$150,$A123)</f>
        <v>0</v>
      </c>
      <c r="D123" s="24">
        <f>20*COUNTIF(YY统计!A$2:M$150,$A123)</f>
        <v>0</v>
      </c>
      <c r="E123" s="24">
        <f>SUM(B123:D123)</f>
        <v>0</v>
      </c>
      <c r="F123" s="24">
        <f>IF(AND(E123&gt;=16,E123&lt;66),0.01,ROUNDDOWN((E123-16)/50,0))</f>
        <v>0</v>
      </c>
      <c r="G123" s="13">
        <f>IF(AND(F123&gt;=1,F123&lt;=6),E123-F123*50-16,IF(F123=0.01,E123-16,IF(F123=0,0,IF(F123&gt;6,E123-316,0))))</f>
        <v>0</v>
      </c>
    </row>
    <row r="124" spans="1:7" ht="16.5">
      <c r="A124" s="14" t="s">
        <v>223</v>
      </c>
      <c r="B124" s="4">
        <f>VLOOKUP(A124,联盟DKP榜单!A$1:C$598,3,FALSE)-40*COUNTIF(扣分!A:A,A124)</f>
        <v>0</v>
      </c>
      <c r="C124" s="24">
        <f>50*COUNTIF(帮战总榜!A$1:AB$150,$A124)+40*COUNTIF(掠夺!A$1:AB$150,$A124)</f>
        <v>0</v>
      </c>
      <c r="D124" s="24">
        <f>20*COUNTIF(YY统计!A$2:M$150,$A124)</f>
        <v>0</v>
      </c>
      <c r="E124" s="24">
        <f>SUM(B124:D124)</f>
        <v>0</v>
      </c>
      <c r="F124" s="24">
        <f>IF(AND(E124&gt;=16,E124&lt;66),0.01,ROUNDDOWN((E124-16)/50,0))</f>
        <v>0</v>
      </c>
      <c r="G124" s="13">
        <f>IF(AND(F124&gt;=1,F124&lt;=6),E124-F124*50-16,IF(F124=0.01,E124-16,IF(F124=0,0,IF(F124&gt;6,E124-316,0))))</f>
        <v>0</v>
      </c>
    </row>
    <row r="125" spans="1:7" ht="16.5">
      <c r="A125" s="14" t="s">
        <v>192</v>
      </c>
      <c r="B125" s="4">
        <f>VLOOKUP(A125,联盟DKP榜单!A$1:C$598,3,FALSE)-40*COUNTIF(扣分!A:A,A125)</f>
        <v>0</v>
      </c>
      <c r="C125" s="24">
        <f>50*COUNTIF(帮战总榜!A$1:AB$150,$A125)+40*COUNTIF(掠夺!A$1:AB$150,$A125)</f>
        <v>0</v>
      </c>
      <c r="D125" s="24">
        <f>20*COUNTIF(YY统计!A$2:M$150,$A125)</f>
        <v>0</v>
      </c>
      <c r="E125" s="24">
        <f>SUM(B125:D125)</f>
        <v>0</v>
      </c>
      <c r="F125" s="24">
        <f>IF(AND(E125&gt;=16,E125&lt;66),0.01,ROUNDDOWN((E125-16)/50,0))</f>
        <v>0</v>
      </c>
      <c r="G125" s="13">
        <f>IF(AND(F125&gt;=1,F125&lt;=6),E125-F125*50-16,IF(F125=0.01,E125-16,IF(F125=0,0,IF(F125&gt;6,E125-316,0))))</f>
        <v>0</v>
      </c>
    </row>
    <row r="126" spans="1:7" ht="16.5">
      <c r="A126" s="14" t="s">
        <v>222</v>
      </c>
      <c r="B126" s="4">
        <f>VLOOKUP(A126,联盟DKP榜单!A$1:C$598,3,FALSE)-40*COUNTIF(扣分!A:A,A126)</f>
        <v>0</v>
      </c>
      <c r="C126" s="24">
        <f>50*COUNTIF(帮战总榜!A$1:AB$150,$A126)+40*COUNTIF(掠夺!A$1:AB$150,$A126)</f>
        <v>0</v>
      </c>
      <c r="D126" s="24">
        <f>20*COUNTIF(YY统计!A$2:M$150,$A126)</f>
        <v>0</v>
      </c>
      <c r="E126" s="24">
        <f>SUM(B126:D126)</f>
        <v>0</v>
      </c>
      <c r="F126" s="24">
        <f>IF(AND(E126&gt;=16,E126&lt;66),0.01,ROUNDDOWN((E126-16)/50,0))</f>
        <v>0</v>
      </c>
      <c r="G126" s="13">
        <f>IF(AND(F126&gt;=1,F126&lt;=6),E126-F126*50-16,IF(F126=0.01,E126-16,IF(F126=0,0,IF(F126&gt;6,E126-316,0))))</f>
        <v>0</v>
      </c>
    </row>
    <row r="127" spans="1:7" ht="16.5">
      <c r="A127" s="14" t="s">
        <v>195</v>
      </c>
      <c r="B127" s="4">
        <f>VLOOKUP(A127,联盟DKP榜单!A$1:C$598,3,FALSE)-40*COUNTIF(扣分!A:A,A127)</f>
        <v>0</v>
      </c>
      <c r="C127" s="24">
        <f>50*COUNTIF(帮战总榜!A$1:AB$150,$A127)+40*COUNTIF(掠夺!A$1:AB$150,$A127)</f>
        <v>0</v>
      </c>
      <c r="D127" s="24">
        <f>20*COUNTIF(YY统计!A$2:M$150,$A127)</f>
        <v>0</v>
      </c>
      <c r="E127" s="24">
        <f>SUM(B127:D127)</f>
        <v>0</v>
      </c>
      <c r="F127" s="24">
        <f>IF(AND(E127&gt;=16,E127&lt;66),0.01,ROUNDDOWN((E127-16)/50,0))</f>
        <v>0</v>
      </c>
      <c r="G127" s="13">
        <f>IF(AND(F127&gt;=1,F127&lt;=6),E127-F127*50-16,IF(F127=0.01,E127-16,IF(F127=0,0,IF(F127&gt;6,E127-316,0))))</f>
        <v>0</v>
      </c>
    </row>
    <row r="128" spans="1:7" ht="16.5">
      <c r="A128" s="14" t="s">
        <v>500</v>
      </c>
      <c r="B128" s="4">
        <f>VLOOKUP(A128,联盟DKP榜单!A$1:C$598,3,FALSE)-40*COUNTIF(扣分!A:A,A128)</f>
        <v>0</v>
      </c>
      <c r="C128" s="24">
        <f>50*COUNTIF(帮战总榜!A$1:AB$150,$A128)+40*COUNTIF(掠夺!A$1:AB$150,$A128)</f>
        <v>0</v>
      </c>
      <c r="D128" s="24">
        <f>20*COUNTIF(YY统计!A$2:M$150,$A128)</f>
        <v>0</v>
      </c>
      <c r="E128" s="24">
        <f>SUM(B128:D128)</f>
        <v>0</v>
      </c>
      <c r="F128" s="24">
        <f>IF(AND(E128&gt;=16,E128&lt;66),0.01,ROUNDDOWN((E128-16)/50,0))</f>
        <v>0</v>
      </c>
      <c r="G128" s="13">
        <f>IF(AND(F128&gt;=1,F128&lt;=6),E128-F128*50-16,IF(F128=0.01,E128-16,IF(F128=0,0,IF(F128&gt;6,E128-316,0))))</f>
        <v>0</v>
      </c>
    </row>
    <row r="129" spans="1:7" ht="16.5">
      <c r="A129" s="14" t="s">
        <v>220</v>
      </c>
      <c r="B129" s="4">
        <f>VLOOKUP(A129,联盟DKP榜单!A$1:C$598,3,FALSE)-40*COUNTIF(扣分!A:A,A129)</f>
        <v>0</v>
      </c>
      <c r="C129" s="24">
        <f>50*COUNTIF(帮战总榜!A$1:AB$150,$A129)+40*COUNTIF(掠夺!A$1:AB$150,$A129)</f>
        <v>0</v>
      </c>
      <c r="D129" s="24">
        <f>20*COUNTIF(YY统计!A$2:M$150,$A129)</f>
        <v>0</v>
      </c>
      <c r="E129" s="24">
        <f>SUM(B129:D129)</f>
        <v>0</v>
      </c>
      <c r="F129" s="24">
        <f>IF(AND(E129&gt;=16,E129&lt;66),0.01,ROUNDDOWN((E129-16)/50,0))</f>
        <v>0</v>
      </c>
      <c r="G129" s="13">
        <f>IF(AND(F129&gt;=1,F129&lt;=6),E129-F129*50-16,IF(F129=0.01,E129-16,IF(F129=0,0,IF(F129&gt;6,E129-316,0))))</f>
        <v>0</v>
      </c>
    </row>
    <row r="130" spans="1:7" ht="16.5">
      <c r="A130" s="14" t="s">
        <v>197</v>
      </c>
      <c r="B130" s="4">
        <f>VLOOKUP(A130,联盟DKP榜单!A$1:C$598,3,FALSE)-40*COUNTIF(扣分!A:A,A130)</f>
        <v>0</v>
      </c>
      <c r="C130" s="24">
        <f>50*COUNTIF(帮战总榜!A$1:AB$150,$A130)+40*COUNTIF(掠夺!A$1:AB$150,$A130)</f>
        <v>0</v>
      </c>
      <c r="D130" s="24">
        <f>20*COUNTIF(YY统计!A$2:M$150,$A130)</f>
        <v>0</v>
      </c>
      <c r="E130" s="24">
        <f>SUM(B130:D130)</f>
        <v>0</v>
      </c>
      <c r="F130" s="24">
        <f>IF(AND(E130&gt;=16,E130&lt;66),0.01,ROUNDDOWN((E130-16)/50,0))</f>
        <v>0</v>
      </c>
      <c r="G130" s="13">
        <f>IF(AND(F130&gt;=1,F130&lt;=6),E130-F130*50-16,IF(F130=0.01,E130-16,IF(F130=0,0,IF(F130&gt;6,E130-316,0))))</f>
        <v>0</v>
      </c>
    </row>
    <row r="131" spans="1:7" ht="16.5">
      <c r="A131" s="14" t="s">
        <v>522</v>
      </c>
      <c r="B131" s="4">
        <f>VLOOKUP(A131,联盟DKP榜单!A$1:C$598,3,FALSE)-40*COUNTIF(扣分!A:A,A131)</f>
        <v>0</v>
      </c>
      <c r="C131" s="24">
        <f>50*COUNTIF(帮战总榜!A$1:AB$150,$A131)+40*COUNTIF(掠夺!A$1:AB$150,$A131)</f>
        <v>0</v>
      </c>
      <c r="D131" s="24">
        <f>20*COUNTIF(YY统计!A$2:M$150,$A131)</f>
        <v>0</v>
      </c>
      <c r="E131" s="24">
        <f>SUM(B131:D131)</f>
        <v>0</v>
      </c>
      <c r="F131" s="24">
        <f>IF(AND(E131&gt;=16,E131&lt;66),0.01,ROUNDDOWN((E131-16)/50,0))</f>
        <v>0</v>
      </c>
      <c r="G131" s="13">
        <f>IF(AND(F131&gt;=1,F131&lt;=6),E131-F131*50-16,IF(F131=0.01,E131-16,IF(F131=0,0,IF(F131&gt;6,E131-316,0))))</f>
        <v>0</v>
      </c>
    </row>
    <row r="132" spans="1:7" ht="16.5">
      <c r="A132" s="14" t="s">
        <v>216</v>
      </c>
      <c r="B132" s="4">
        <f>VLOOKUP(A132,联盟DKP榜单!A$1:C$598,3,FALSE)-40*COUNTIF(扣分!A:A,A132)</f>
        <v>0</v>
      </c>
      <c r="C132" s="24">
        <f>50*COUNTIF(帮战总榜!A$1:AB$150,$A132)+40*COUNTIF(掠夺!A$1:AB$150,$A132)</f>
        <v>0</v>
      </c>
      <c r="D132" s="24">
        <f>20*COUNTIF(YY统计!A$2:M$150,$A132)</f>
        <v>0</v>
      </c>
      <c r="E132" s="24">
        <f>SUM(B132:D132)</f>
        <v>0</v>
      </c>
      <c r="F132" s="24">
        <f>IF(AND(E132&gt;=16,E132&lt;66),0.01,ROUNDDOWN((E132-16)/50,0))</f>
        <v>0</v>
      </c>
      <c r="G132" s="13">
        <f>IF(AND(F132&gt;=1,F132&lt;=6),E132-F132*50-16,IF(F132=0.01,E132-16,IF(F132=0,0,IF(F132&gt;6,E132-316,0))))</f>
        <v>0</v>
      </c>
    </row>
    <row r="133" spans="1:7" ht="16.5">
      <c r="A133" s="14" t="s">
        <v>198</v>
      </c>
      <c r="B133" s="4">
        <f>VLOOKUP(A133,联盟DKP榜单!A$1:C$598,3,FALSE)-40*COUNTIF(扣分!A:A,A133)</f>
        <v>0</v>
      </c>
      <c r="C133" s="24">
        <f>50*COUNTIF(帮战总榜!A$1:AB$150,$A133)+40*COUNTIF(掠夺!A$1:AB$150,$A133)</f>
        <v>0</v>
      </c>
      <c r="D133" s="24">
        <f>20*COUNTIF(YY统计!A$2:M$150,$A133)</f>
        <v>0</v>
      </c>
      <c r="E133" s="24">
        <f>SUM(B133:D133)</f>
        <v>0</v>
      </c>
      <c r="F133" s="24">
        <f>IF(AND(E133&gt;=16,E133&lt;66),0.01,ROUNDDOWN((E133-16)/50,0))</f>
        <v>0</v>
      </c>
      <c r="G133" s="13">
        <f>IF(AND(F133&gt;=1,F133&lt;=6),E133-F133*50-16,IF(F133=0.01,E133-16,IF(F133=0,0,IF(F133&gt;6,E133-316,0))))</f>
        <v>0</v>
      </c>
    </row>
    <row r="134" spans="1:7" ht="16.5">
      <c r="A134" s="14" t="s">
        <v>160</v>
      </c>
      <c r="B134" s="4">
        <f>VLOOKUP(A134,联盟DKP榜单!A$1:C$598,3,FALSE)-40*COUNTIF(扣分!A:A,A134)</f>
        <v>0</v>
      </c>
      <c r="C134" s="24">
        <f>50*COUNTIF(帮战总榜!A$1:AB$150,$A134)+40*COUNTIF(掠夺!A$1:AB$150,$A134)</f>
        <v>0</v>
      </c>
      <c r="D134" s="24">
        <f>20*COUNTIF(YY统计!A$2:M$150,$A134)</f>
        <v>0</v>
      </c>
      <c r="E134" s="24">
        <f>SUM(B134:D134)</f>
        <v>0</v>
      </c>
      <c r="F134" s="24">
        <f>IF(AND(E134&gt;=16,E134&lt;66),0.01,ROUNDDOWN((E134-16)/50,0))</f>
        <v>0</v>
      </c>
      <c r="G134" s="13">
        <f>IF(AND(F134&gt;=1,F134&lt;=6),E134-F134*50-16,IF(F134=0.01,E134-16,IF(F134=0,0,IF(F134&gt;6,E134-316,0))))</f>
        <v>0</v>
      </c>
    </row>
    <row r="135" spans="1:7" ht="16.5">
      <c r="A135" s="14" t="s">
        <v>214</v>
      </c>
      <c r="B135" s="4">
        <f>VLOOKUP(A135,联盟DKP榜单!A$1:C$598,3,FALSE)-40*COUNTIF(扣分!A:A,A135)</f>
        <v>0</v>
      </c>
      <c r="C135" s="24">
        <f>50*COUNTIF(帮战总榜!A$1:AB$150,$A135)+40*COUNTIF(掠夺!A$1:AB$150,$A135)</f>
        <v>0</v>
      </c>
      <c r="D135" s="24">
        <f>20*COUNTIF(YY统计!A$2:M$150,$A135)</f>
        <v>0</v>
      </c>
      <c r="E135" s="24">
        <f>SUM(B135:D135)</f>
        <v>0</v>
      </c>
      <c r="F135" s="24">
        <f>IF(AND(E135&gt;=16,E135&lt;66),0.01,ROUNDDOWN((E135-16)/50,0))</f>
        <v>0</v>
      </c>
      <c r="G135" s="13">
        <f>IF(AND(F135&gt;=1,F135&lt;=6),E135-F135*50-16,IF(F135=0.01,E135-16,IF(F135=0,0,IF(F135&gt;6,E135-316,0))))</f>
        <v>0</v>
      </c>
    </row>
    <row r="136" spans="1:7" ht="16.5">
      <c r="A136" s="14" t="s">
        <v>212</v>
      </c>
      <c r="B136" s="4">
        <f>VLOOKUP(A136,联盟DKP榜单!A$1:C$598,3,FALSE)-40*COUNTIF(扣分!A:A,A136)</f>
        <v>0</v>
      </c>
      <c r="C136" s="24">
        <f>50*COUNTIF(帮战总榜!A$1:AB$150,$A136)+40*COUNTIF(掠夺!A$1:AB$150,$A136)</f>
        <v>0</v>
      </c>
      <c r="D136" s="24">
        <f>20*COUNTIF(YY统计!A$2:M$150,$A136)</f>
        <v>0</v>
      </c>
      <c r="E136" s="24">
        <f>SUM(B136:D136)</f>
        <v>0</v>
      </c>
      <c r="F136" s="24">
        <f>IF(AND(E136&gt;=16,E136&lt;66),0.01,ROUNDDOWN((E136-16)/50,0))</f>
        <v>0</v>
      </c>
      <c r="G136" s="13">
        <f>IF(AND(F136&gt;=1,F136&lt;=6),E136-F136*50-16,IF(F136=0.01,E136-16,IF(F136=0,0,IF(F136&gt;6,E136-316,0))))</f>
        <v>0</v>
      </c>
    </row>
    <row r="137" spans="1:7" ht="16.5">
      <c r="A137" s="14" t="s">
        <v>200</v>
      </c>
      <c r="B137" s="4">
        <f>VLOOKUP(A137,联盟DKP榜单!A$1:C$598,3,FALSE)-40*COUNTIF(扣分!A:A,A137)</f>
        <v>0</v>
      </c>
      <c r="C137" s="24">
        <f>50*COUNTIF(帮战总榜!A$1:AB$150,$A137)+40*COUNTIF(掠夺!A$1:AB$150,$A137)</f>
        <v>0</v>
      </c>
      <c r="D137" s="24">
        <f>20*COUNTIF(YY统计!A$2:M$150,$A137)</f>
        <v>0</v>
      </c>
      <c r="E137" s="24">
        <f>SUM(B137:D137)</f>
        <v>0</v>
      </c>
      <c r="F137" s="24">
        <f>IF(AND(E137&gt;=16,E137&lt;66),0.01,ROUNDDOWN((E137-16)/50,0))</f>
        <v>0</v>
      </c>
      <c r="G137" s="13">
        <f>IF(AND(F137&gt;=1,F137&lt;=6),E137-F137*50-16,IF(F137=0.01,E137-16,IF(F137=0,0,IF(F137&gt;6,E137-316,0))))</f>
        <v>0</v>
      </c>
    </row>
    <row r="138" spans="1:7" ht="16.5">
      <c r="A138" s="14" t="s">
        <v>201</v>
      </c>
      <c r="B138" s="4">
        <f>VLOOKUP(A138,联盟DKP榜单!A$1:C$598,3,FALSE)-40*COUNTIF(扣分!A:A,A138)</f>
        <v>0</v>
      </c>
      <c r="C138" s="24">
        <f>50*COUNTIF(帮战总榜!A$1:AB$150,$A138)+40*COUNTIF(掠夺!A$1:AB$150,$A138)</f>
        <v>0</v>
      </c>
      <c r="D138" s="24">
        <f>20*COUNTIF(YY统计!A$2:M$150,$A138)</f>
        <v>0</v>
      </c>
      <c r="E138" s="24">
        <f>SUM(B138:D138)</f>
        <v>0</v>
      </c>
      <c r="F138" s="24">
        <f>IF(AND(E138&gt;=16,E138&lt;66),0.01,ROUNDDOWN((E138-16)/50,0))</f>
        <v>0</v>
      </c>
      <c r="G138" s="13">
        <f>IF(AND(F138&gt;=1,F138&lt;=6),E138-F138*50-16,IF(F138=0.01,E138-16,IF(F138=0,0,IF(F138&gt;6,E138-316,0))))</f>
        <v>0</v>
      </c>
    </row>
    <row r="139" spans="1:7" ht="16.5">
      <c r="A139" s="14" t="s">
        <v>215</v>
      </c>
      <c r="B139" s="4">
        <f>VLOOKUP(A139,联盟DKP榜单!A$1:C$598,3,FALSE)-40*COUNTIF(扣分!A:A,A139)</f>
        <v>0</v>
      </c>
      <c r="C139" s="24">
        <f>50*COUNTIF(帮战总榜!A$1:AB$150,$A139)+40*COUNTIF(掠夺!A$1:AB$150,$A139)</f>
        <v>0</v>
      </c>
      <c r="D139" s="24">
        <f>20*COUNTIF(YY统计!A$2:M$150,$A139)</f>
        <v>0</v>
      </c>
      <c r="E139" s="24">
        <f>SUM(B139:D139)</f>
        <v>0</v>
      </c>
      <c r="F139" s="24">
        <f>IF(AND(E139&gt;=16,E139&lt;66),0.01,ROUNDDOWN((E139-16)/50,0))</f>
        <v>0</v>
      </c>
      <c r="G139" s="13">
        <f>IF(AND(F139&gt;=1,F139&lt;=6),E139-F139*50-16,IF(F139=0.01,E139-16,IF(F139=0,0,IF(F139&gt;6,E139-316,0))))</f>
        <v>0</v>
      </c>
    </row>
    <row r="140" spans="1:7" ht="16.5">
      <c r="A140" s="14" t="s">
        <v>202</v>
      </c>
      <c r="B140" s="4">
        <f>VLOOKUP(A140,联盟DKP榜单!A$1:C$598,3,FALSE)-40*COUNTIF(扣分!A:A,A140)</f>
        <v>0</v>
      </c>
      <c r="C140" s="24">
        <f>50*COUNTIF(帮战总榜!A$1:AB$150,$A140)+40*COUNTIF(掠夺!A$1:AB$150,$A140)</f>
        <v>0</v>
      </c>
      <c r="D140" s="24">
        <f>20*COUNTIF(YY统计!A$2:M$150,$A140)</f>
        <v>0</v>
      </c>
      <c r="E140" s="24">
        <f>SUM(B140:D140)</f>
        <v>0</v>
      </c>
      <c r="F140" s="24">
        <f>IF(AND(E140&gt;=16,E140&lt;66),0.01,ROUNDDOWN((E140-16)/50,0))</f>
        <v>0</v>
      </c>
      <c r="G140" s="13">
        <f>IF(AND(F140&gt;=1,F140&lt;=6),E140-F140*50-16,IF(F140=0.01,E140-16,IF(F140=0,0,IF(F140&gt;6,E140-316,0))))</f>
        <v>0</v>
      </c>
    </row>
    <row r="141" spans="1:7" ht="16.5">
      <c r="A141" s="14" t="s">
        <v>203</v>
      </c>
      <c r="B141" s="4">
        <f>VLOOKUP(A141,联盟DKP榜单!A$1:C$598,3,FALSE)-40*COUNTIF(扣分!A:A,A141)</f>
        <v>0</v>
      </c>
      <c r="C141" s="24">
        <f>50*COUNTIF(帮战总榜!A$1:AB$150,$A141)+40*COUNTIF(掠夺!A$1:AB$150,$A141)</f>
        <v>0</v>
      </c>
      <c r="D141" s="24">
        <f>20*COUNTIF(YY统计!A$2:M$150,$A141)</f>
        <v>0</v>
      </c>
      <c r="E141" s="24">
        <f>SUM(B141:D141)</f>
        <v>0</v>
      </c>
      <c r="F141" s="24">
        <f>IF(AND(E141&gt;=16,E141&lt;66),0.01,ROUNDDOWN((E141-16)/50,0))</f>
        <v>0</v>
      </c>
      <c r="G141" s="13">
        <f>IF(AND(F141&gt;=1,F141&lt;=6),E141-F141*50-16,IF(F141=0.01,E141-16,IF(F141=0,0,IF(F141&gt;6,E141-316,0))))</f>
        <v>0</v>
      </c>
    </row>
    <row r="142" spans="1:7" ht="16.5">
      <c r="A142" s="14" t="s">
        <v>204</v>
      </c>
      <c r="B142" s="4">
        <f>VLOOKUP(A142,联盟DKP榜单!A$1:C$598,3,FALSE)-40*COUNTIF(扣分!A:A,A142)</f>
        <v>0</v>
      </c>
      <c r="C142" s="24">
        <f>50*COUNTIF(帮战总榜!A$1:AB$150,$A142)+40*COUNTIF(掠夺!A$1:AB$150,$A142)</f>
        <v>0</v>
      </c>
      <c r="D142" s="24">
        <f>20*COUNTIF(YY统计!A$2:M$150,$A142)</f>
        <v>0</v>
      </c>
      <c r="E142" s="24">
        <f>SUM(B142:D142)</f>
        <v>0</v>
      </c>
      <c r="F142" s="24">
        <f>IF(AND(E142&gt;=16,E142&lt;66),0.01,ROUNDDOWN((E142-16)/50,0))</f>
        <v>0</v>
      </c>
      <c r="G142" s="13">
        <f>IF(AND(F142&gt;=1,F142&lt;=6),E142-F142*50-16,IF(F142=0.01,E142-16,IF(F142=0,0,IF(F142&gt;6,E142-316,0))))</f>
        <v>0</v>
      </c>
    </row>
    <row r="143" spans="1:7" ht="16.5">
      <c r="A143" s="14" t="s">
        <v>205</v>
      </c>
      <c r="B143" s="4">
        <f>VLOOKUP(A143,联盟DKP榜单!A$1:C$598,3,FALSE)-40*COUNTIF(扣分!A:A,A143)</f>
        <v>0</v>
      </c>
      <c r="C143" s="24">
        <f>50*COUNTIF(帮战总榜!A$1:AB$150,$A143)+40*COUNTIF(掠夺!A$1:AB$150,$A143)</f>
        <v>0</v>
      </c>
      <c r="D143" s="24">
        <f>20*COUNTIF(YY统计!A$2:M$150,$A143)</f>
        <v>0</v>
      </c>
      <c r="E143" s="24">
        <f>SUM(B143:D143)</f>
        <v>0</v>
      </c>
      <c r="F143" s="24">
        <f>IF(AND(E143&gt;=16,E143&lt;66),0.01,ROUNDDOWN((E143-16)/50,0))</f>
        <v>0</v>
      </c>
      <c r="G143" s="13">
        <f>IF(AND(F143&gt;=1,F143&lt;=6),E143-F143*50-16,IF(F143=0.01,E143-16,IF(F143=0,0,IF(F143&gt;6,E143-316,0))))</f>
        <v>0</v>
      </c>
    </row>
    <row r="144" spans="1:7" ht="16.5">
      <c r="A144" s="14" t="s">
        <v>541</v>
      </c>
      <c r="B144" s="4">
        <f>VLOOKUP(A144,联盟DKP榜单!A$1:C$598,3,FALSE)-40*COUNTIF(扣分!A:A,A144)</f>
        <v>0</v>
      </c>
      <c r="C144" s="24">
        <f>50*COUNTIF(帮战总榜!A$1:AB$150,$A144)+40*COUNTIF(掠夺!A$1:AB$150,$A144)</f>
        <v>0</v>
      </c>
      <c r="D144" s="24">
        <f>20*COUNTIF(YY统计!A$2:M$150,$A144)</f>
        <v>0</v>
      </c>
      <c r="E144" s="24">
        <f>SUM(B144:D144)</f>
        <v>0</v>
      </c>
      <c r="F144" s="24">
        <f>IF(AND(E144&gt;=16,E144&lt;66),0.01,ROUNDDOWN((E144-16)/50,0))</f>
        <v>0</v>
      </c>
      <c r="G144" s="13">
        <f>IF(AND(F144&gt;=1,F144&lt;=6),E144-F144*50-16,IF(F144=0.01,E144-16,IF(F144=0,0,IF(F144&gt;6,E144-316,0))))</f>
        <v>0</v>
      </c>
    </row>
    <row r="145" spans="1:7" ht="16.5">
      <c r="A145" s="14"/>
      <c r="B145" s="4"/>
      <c r="C145" s="24"/>
      <c r="D145" s="24"/>
      <c r="E145" s="24"/>
      <c r="F145" s="24"/>
      <c r="G145" s="13"/>
    </row>
    <row r="146" spans="1:7" ht="16.5">
      <c r="A146" s="14"/>
      <c r="B146" s="4"/>
      <c r="C146" s="24"/>
      <c r="D146" s="24"/>
      <c r="E146" s="24"/>
      <c r="F146" s="24"/>
      <c r="G146" s="13"/>
    </row>
    <row r="147" spans="1:7" ht="16.5">
      <c r="A147" s="14"/>
      <c r="B147" s="4"/>
      <c r="C147" s="24"/>
      <c r="D147" s="24"/>
      <c r="E147" s="24"/>
      <c r="F147" s="24"/>
    </row>
    <row r="148" spans="1:7" ht="16.5">
      <c r="A148" s="14"/>
      <c r="B148" s="4"/>
      <c r="C148" s="24"/>
      <c r="D148" s="24"/>
      <c r="E148" s="24"/>
      <c r="F148" s="24"/>
    </row>
    <row r="149" spans="1:7" ht="16.5">
      <c r="A149" s="14"/>
      <c r="B149" s="4"/>
      <c r="C149" s="24"/>
      <c r="D149" s="24"/>
      <c r="E149" s="24"/>
      <c r="F149" s="24"/>
    </row>
  </sheetData>
  <sortState ref="A2:G151">
    <sortCondition descending="1" ref="F1"/>
  </sortState>
  <pageMargins left="0.7" right="0.7" top="0.75" bottom="0.75" header="0.3" footer="0.3"/>
  <pageSetup orientation="portrait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49"/>
  <sheetViews>
    <sheetView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F2" sqref="F2"/>
    </sheetView>
  </sheetViews>
  <sheetFormatPr defaultRowHeight="15"/>
  <cols>
    <col min="1" max="1" width="16.140625" style="1" bestFit="1" customWidth="1"/>
    <col min="2" max="2" width="4.5703125" style="6" bestFit="1" customWidth="1"/>
    <col min="3" max="3" width="5.28515625" style="6" bestFit="1" customWidth="1"/>
    <col min="4" max="4" width="7.28515625" style="6" bestFit="1" customWidth="1"/>
    <col min="5" max="5" width="5.7109375" style="6" bestFit="1" customWidth="1"/>
    <col min="6" max="6" width="9.5703125" style="6" bestFit="1" customWidth="1"/>
    <col min="7" max="7" width="9.140625" style="13"/>
    <col min="8" max="8" width="9.5703125" bestFit="1" customWidth="1"/>
    <col min="9" max="10" width="9.5703125" customWidth="1"/>
    <col min="11" max="11" width="9.5703125" bestFit="1" customWidth="1"/>
  </cols>
  <sheetData>
    <row r="1" spans="1:11">
      <c r="A1" s="19" t="s">
        <v>5</v>
      </c>
      <c r="B1" s="20" t="s">
        <v>22</v>
      </c>
      <c r="C1" s="20" t="s">
        <v>10</v>
      </c>
      <c r="D1" s="20" t="s">
        <v>23</v>
      </c>
      <c r="E1" s="20" t="s">
        <v>6</v>
      </c>
      <c r="F1" s="20" t="s">
        <v>9</v>
      </c>
      <c r="G1" s="20" t="s">
        <v>620</v>
      </c>
      <c r="J1" s="20" t="s">
        <v>11</v>
      </c>
      <c r="K1" s="20" t="s">
        <v>12</v>
      </c>
    </row>
    <row r="2" spans="1:11" ht="16.5">
      <c r="A2" s="14" t="s">
        <v>358</v>
      </c>
      <c r="B2" s="4">
        <f>VLOOKUP(A2,联盟DKP榜单!A$1:C$598,3,FALSE)-40*COUNTIF(扣分!A:A,A2)</f>
        <v>135</v>
      </c>
      <c r="C2" s="24">
        <f>50*COUNTIF(帮战总榜!A$1:AB$150,$A2)+40*COUNTIF(掠夺!A$1:AB$150,$A2)</f>
        <v>80</v>
      </c>
      <c r="D2" s="24">
        <f>20*COUNTIF(YY统计!A$2:M$150,$A2)</f>
        <v>80</v>
      </c>
      <c r="E2" s="24">
        <f>SUM(B2:D2)</f>
        <v>295</v>
      </c>
      <c r="F2" s="24">
        <f>IF(AND(E2&gt;=16,E2&lt;66),0.01,ROUNDDOWN((E2-16)/50,0))</f>
        <v>5</v>
      </c>
      <c r="G2" s="13">
        <f>IF(AND(F2&gt;=1,F2&lt;=6),E2-F2*50-16,IF(F2=0.01,E2-16,IF(F2=0,0,IF(F2&gt;6,E2-316,0))))</f>
        <v>29</v>
      </c>
      <c r="J2" s="3">
        <f>INT(SUM(F2:F158))</f>
        <v>91</v>
      </c>
      <c r="K2" s="3">
        <f>COUNTIF(F:F,"&gt;"&amp;6)</f>
        <v>0</v>
      </c>
    </row>
    <row r="3" spans="1:11" ht="16.5">
      <c r="A3" s="14" t="s">
        <v>350</v>
      </c>
      <c r="B3" s="4">
        <f>VLOOKUP(A3,联盟DKP榜单!A$1:C$598,3,FALSE)-40*COUNTIF(扣分!A:A,A3)</f>
        <v>125</v>
      </c>
      <c r="C3" s="24">
        <f>50*COUNTIF(帮战总榜!A$1:AB$150,$A3)+40*COUNTIF(掠夺!A$1:AB$150,$A3)</f>
        <v>80</v>
      </c>
      <c r="D3" s="24">
        <f>20*COUNTIF(YY统计!A$2:M$150,$A3)</f>
        <v>80</v>
      </c>
      <c r="E3" s="24">
        <f>SUM(B3:D3)</f>
        <v>285</v>
      </c>
      <c r="F3" s="24">
        <f>IF(AND(E3&gt;=16,E3&lt;66),0.01,ROUNDDOWN((E3-16)/50,0))</f>
        <v>5</v>
      </c>
      <c r="G3" s="13">
        <f>IF(AND(F3&gt;=1,F3&lt;=6),E3-F3*50-16,IF(F3=0.01,E3-16,IF(F3=0,0,IF(F3&gt;6,E3-316,0))))</f>
        <v>19</v>
      </c>
    </row>
    <row r="4" spans="1:11" ht="16.5">
      <c r="A4" s="14" t="s">
        <v>362</v>
      </c>
      <c r="B4" s="4">
        <f>VLOOKUP(A4,联盟DKP榜单!A$1:C$598,3,FALSE)-40*COUNTIF(扣分!A:A,A4)</f>
        <v>127</v>
      </c>
      <c r="C4" s="24">
        <f>50*COUNTIF(帮战总榜!A$1:AB$150,$A4)+40*COUNTIF(掠夺!A$1:AB$150,$A4)</f>
        <v>40</v>
      </c>
      <c r="D4" s="24">
        <f>20*COUNTIF(YY统计!A$2:M$150,$A4)</f>
        <v>60</v>
      </c>
      <c r="E4" s="24">
        <f>SUM(B4:D4)</f>
        <v>227</v>
      </c>
      <c r="F4" s="24">
        <f>IF(AND(E4&gt;=16,E4&lt;66),0.01,ROUNDDOWN((E4-16)/50,0))</f>
        <v>4</v>
      </c>
      <c r="G4" s="13">
        <f>IF(AND(F4&gt;=1,F4&lt;=6),E4-F4*50-16,IF(F4=0.01,E4-16,IF(F4=0,0,IF(F4&gt;6,E4-316,0))))</f>
        <v>11</v>
      </c>
    </row>
    <row r="5" spans="1:11" ht="16.5">
      <c r="A5" s="14" t="s">
        <v>353</v>
      </c>
      <c r="B5" s="4">
        <f>VLOOKUP(A5,联盟DKP榜单!A$1:C$598,3,FALSE)-40*COUNTIF(扣分!A:A,A5)</f>
        <v>115</v>
      </c>
      <c r="C5" s="24">
        <f>50*COUNTIF(帮战总榜!A$1:AB$150,$A5)+40*COUNTIF(掠夺!A$1:AB$150,$A5)</f>
        <v>80</v>
      </c>
      <c r="D5" s="24">
        <f>20*COUNTIF(YY统计!A$2:M$150,$A5)</f>
        <v>60</v>
      </c>
      <c r="E5" s="24">
        <f>SUM(B5:D5)</f>
        <v>255</v>
      </c>
      <c r="F5" s="24">
        <f>IF(AND(E5&gt;=16,E5&lt;66),0.01,ROUNDDOWN((E5-16)/50,0))</f>
        <v>4</v>
      </c>
      <c r="G5" s="13">
        <f>IF(AND(F5&gt;=1,F5&lt;=6),E5-F5*50-16,IF(F5=0.01,E5-16,IF(F5=0,0,IF(F5&gt;6,E5-316,0))))</f>
        <v>39</v>
      </c>
    </row>
    <row r="6" spans="1:11" ht="16.5">
      <c r="A6" s="14" t="s">
        <v>347</v>
      </c>
      <c r="B6" s="4">
        <f>VLOOKUP(A6,联盟DKP榜单!A$1:C$598,3,FALSE)-40*COUNTIF(扣分!A:A,A6)</f>
        <v>110</v>
      </c>
      <c r="C6" s="24">
        <f>50*COUNTIF(帮战总榜!A$1:AB$150,$A6)+40*COUNTIF(掠夺!A$1:AB$150,$A6)</f>
        <v>80</v>
      </c>
      <c r="D6" s="24">
        <f>20*COUNTIF(YY统计!A$2:M$150,$A6)</f>
        <v>60</v>
      </c>
      <c r="E6" s="24">
        <f>SUM(B6:D6)</f>
        <v>250</v>
      </c>
      <c r="F6" s="24">
        <f>IF(AND(E6&gt;=16,E6&lt;66),0.01,ROUNDDOWN((E6-16)/50,0))</f>
        <v>4</v>
      </c>
      <c r="G6" s="13">
        <f>IF(AND(F6&gt;=1,F6&lt;=6),E6-F6*50-16,IF(F6=0.01,E6-16,IF(F6=0,0,IF(F6&gt;6,E6-316,0))))</f>
        <v>34</v>
      </c>
    </row>
    <row r="7" spans="1:11" ht="16.5">
      <c r="A7" s="14" t="s">
        <v>359</v>
      </c>
      <c r="B7" s="4">
        <f>VLOOKUP(A7,联盟DKP榜单!A$1:C$598,3,FALSE)-40*COUNTIF(扣分!A:A,A7)</f>
        <v>106</v>
      </c>
      <c r="C7" s="24">
        <f>50*COUNTIF(帮战总榜!A$1:AB$150,$A7)+40*COUNTIF(掠夺!A$1:AB$150,$A7)</f>
        <v>80</v>
      </c>
      <c r="D7" s="24">
        <f>20*COUNTIF(YY统计!A$2:M$150,$A7)</f>
        <v>40</v>
      </c>
      <c r="E7" s="24">
        <f>SUM(B7:D7)</f>
        <v>226</v>
      </c>
      <c r="F7" s="24">
        <f>IF(AND(E7&gt;=16,E7&lt;66),0.01,ROUNDDOWN((E7-16)/50,0))</f>
        <v>4</v>
      </c>
      <c r="G7" s="13">
        <f>IF(AND(F7&gt;=1,F7&lt;=6),E7-F7*50-16,IF(F7=0.01,E7-16,IF(F7=0,0,IF(F7&gt;6,E7-316,0))))</f>
        <v>10</v>
      </c>
    </row>
    <row r="8" spans="1:11" ht="16.5">
      <c r="A8" s="14" t="s">
        <v>345</v>
      </c>
      <c r="B8" s="4">
        <f>VLOOKUP(A8,联盟DKP榜单!A$1:C$598,3,FALSE)-40*COUNTIF(扣分!A:A,A8)</f>
        <v>106</v>
      </c>
      <c r="C8" s="24">
        <f>50*COUNTIF(帮战总榜!A$1:AB$150,$A8)+40*COUNTIF(掠夺!A$1:AB$150,$A8)</f>
        <v>80</v>
      </c>
      <c r="D8" s="24">
        <f>20*COUNTIF(YY统计!A$2:M$150,$A8)</f>
        <v>60</v>
      </c>
      <c r="E8" s="24">
        <f>SUM(B8:D8)</f>
        <v>246</v>
      </c>
      <c r="F8" s="24">
        <f>IF(AND(E8&gt;=16,E8&lt;66),0.01,ROUNDDOWN((E8-16)/50,0))</f>
        <v>4</v>
      </c>
      <c r="G8" s="13">
        <f>IF(AND(F8&gt;=1,F8&lt;=6),E8-F8*50-16,IF(F8=0.01,E8-16,IF(F8=0,0,IF(F8&gt;6,E8-316,0))))</f>
        <v>30</v>
      </c>
    </row>
    <row r="9" spans="1:11" ht="16.5">
      <c r="A9" s="14" t="s">
        <v>346</v>
      </c>
      <c r="B9" s="4">
        <f>VLOOKUP(A9,联盟DKP榜单!A$1:C$598,3,FALSE)-40*COUNTIF(扣分!A:A,A9)</f>
        <v>105</v>
      </c>
      <c r="C9" s="24">
        <f>50*COUNTIF(帮战总榜!A$1:AB$150,$A9)+40*COUNTIF(掠夺!A$1:AB$150,$A9)</f>
        <v>80</v>
      </c>
      <c r="D9" s="24">
        <f>20*COUNTIF(YY统计!A$2:M$150,$A9)</f>
        <v>60</v>
      </c>
      <c r="E9" s="24">
        <f>SUM(B9:D9)</f>
        <v>245</v>
      </c>
      <c r="F9" s="24">
        <f>IF(AND(E9&gt;=16,E9&lt;66),0.01,ROUNDDOWN((E9-16)/50,0))</f>
        <v>4</v>
      </c>
      <c r="G9" s="13">
        <f>IF(AND(F9&gt;=1,F9&lt;=6),E9-F9*50-16,IF(F9=0.01,E9-16,IF(F9=0,0,IF(F9&gt;6,E9-316,0))))</f>
        <v>29</v>
      </c>
    </row>
    <row r="10" spans="1:11" ht="16.5">
      <c r="A10" s="14" t="s">
        <v>440</v>
      </c>
      <c r="B10" s="4">
        <f>VLOOKUP(A10,联盟DKP榜单!A$1:C$598,3,FALSE)-40*COUNTIF(扣分!A:A,A10)</f>
        <v>90</v>
      </c>
      <c r="C10" s="24">
        <f>50*COUNTIF(帮战总榜!A$1:AB$150,$A10)+40*COUNTIF(掠夺!A$1:AB$150,$A10)</f>
        <v>80</v>
      </c>
      <c r="D10" s="24">
        <f>20*COUNTIF(YY统计!A$2:M$150,$A10)</f>
        <v>80</v>
      </c>
      <c r="E10" s="24">
        <f>SUM(B10:D10)</f>
        <v>250</v>
      </c>
      <c r="F10" s="24">
        <f>IF(AND(E10&gt;=16,E10&lt;66),0.01,ROUNDDOWN((E10-16)/50,0))</f>
        <v>4</v>
      </c>
      <c r="G10" s="13">
        <f>IF(AND(F10&gt;=1,F10&lt;=6),E10-F10*50-16,IF(F10=0.01,E10-16,IF(F10=0,0,IF(F10&gt;6,E10-316,0))))</f>
        <v>34</v>
      </c>
    </row>
    <row r="11" spans="1:11" ht="16.5">
      <c r="A11" s="14" t="s">
        <v>355</v>
      </c>
      <c r="B11" s="4">
        <f>VLOOKUP(A11,联盟DKP榜单!A$1:C$598,3,FALSE)-40*COUNTIF(扣分!A:A,A11)</f>
        <v>90</v>
      </c>
      <c r="C11" s="24">
        <f>50*COUNTIF(帮战总榜!A$1:AB$150,$A11)+40*COUNTIF(掠夺!A$1:AB$150,$A11)</f>
        <v>80</v>
      </c>
      <c r="D11" s="24">
        <f>20*COUNTIF(YY统计!A$2:M$150,$A11)</f>
        <v>80</v>
      </c>
      <c r="E11" s="24">
        <f>SUM(B11:D11)</f>
        <v>250</v>
      </c>
      <c r="F11" s="24">
        <f>IF(AND(E11&gt;=16,E11&lt;66),0.01,ROUNDDOWN((E11-16)/50,0))</f>
        <v>4</v>
      </c>
      <c r="G11" s="13">
        <f>IF(AND(F11&gt;=1,F11&lt;=6),E11-F11*50-16,IF(F11=0.01,E11-16,IF(F11=0,0,IF(F11&gt;6,E11-316,0))))</f>
        <v>34</v>
      </c>
    </row>
    <row r="12" spans="1:11" ht="16.5">
      <c r="A12" s="14" t="s">
        <v>446</v>
      </c>
      <c r="B12" s="4">
        <f>VLOOKUP(A12,联盟DKP榜单!A$1:C$598,3,FALSE)-40*COUNTIF(扣分!A:A,A12)</f>
        <v>133</v>
      </c>
      <c r="C12" s="24">
        <f>50*COUNTIF(帮战总榜!A$1:AB$150,$A12)+40*COUNTIF(掠夺!A$1:AB$150,$A12)</f>
        <v>0</v>
      </c>
      <c r="D12" s="24">
        <f>20*COUNTIF(YY统计!A$2:M$150,$A12)</f>
        <v>40</v>
      </c>
      <c r="E12" s="24">
        <f>SUM(B12:D12)</f>
        <v>173</v>
      </c>
      <c r="F12" s="24">
        <f>IF(AND(E12&gt;=16,E12&lt;66),0.01,ROUNDDOWN((E12-16)/50,0))</f>
        <v>3</v>
      </c>
      <c r="G12" s="13">
        <f>IF(AND(F12&gt;=1,F12&lt;=6),E12-F12*50-16,IF(F12=0.01,E12-16,IF(F12=0,0,IF(F12&gt;6,E12-316,0))))</f>
        <v>7</v>
      </c>
    </row>
    <row r="13" spans="1:11" ht="16.5">
      <c r="A13" s="14" t="s">
        <v>48</v>
      </c>
      <c r="B13" s="4">
        <f>VLOOKUP(A13,联盟DKP榜单!A$1:C$598,3,FALSE)-40*COUNTIF(扣分!A:A,A13)</f>
        <v>126</v>
      </c>
      <c r="C13" s="24">
        <f>50*COUNTIF(帮战总榜!A$1:AB$150,$A13)+40*COUNTIF(掠夺!A$1:AB$150,$A13)</f>
        <v>40</v>
      </c>
      <c r="D13" s="24">
        <f>20*COUNTIF(YY统计!A$2:M$150,$A13)</f>
        <v>40</v>
      </c>
      <c r="E13" s="24">
        <f>SUM(B13:D13)</f>
        <v>206</v>
      </c>
      <c r="F13" s="24">
        <f>IF(AND(E13&gt;=16,E13&lt;66),0.01,ROUNDDOWN((E13-16)/50,0))</f>
        <v>3</v>
      </c>
      <c r="G13" s="13">
        <f>IF(AND(F13&gt;=1,F13&lt;=6),E13-F13*50-16,IF(F13=0.01,E13-16,IF(F13=0,0,IF(F13&gt;6,E13-316,0))))</f>
        <v>40</v>
      </c>
    </row>
    <row r="14" spans="1:11" ht="16.5">
      <c r="A14" s="14" t="s">
        <v>388</v>
      </c>
      <c r="B14" s="4">
        <f>VLOOKUP(A14,联盟DKP榜单!A$1:C$598,3,FALSE)-40*COUNTIF(扣分!A:A,A14)</f>
        <v>105</v>
      </c>
      <c r="C14" s="24">
        <f>50*COUNTIF(帮战总榜!A$1:AB$150,$A14)+40*COUNTIF(掠夺!A$1:AB$150,$A14)</f>
        <v>40</v>
      </c>
      <c r="D14" s="24">
        <f>20*COUNTIF(YY统计!A$2:M$150,$A14)</f>
        <v>40</v>
      </c>
      <c r="E14" s="24">
        <f>SUM(B14:D14)</f>
        <v>185</v>
      </c>
      <c r="F14" s="24">
        <f>IF(AND(E14&gt;=16,E14&lt;66),0.01,ROUNDDOWN((E14-16)/50,0))</f>
        <v>3</v>
      </c>
      <c r="G14" s="13">
        <f>IF(AND(F14&gt;=1,F14&lt;=6),E14-F14*50-16,IF(F14=0.01,E14-16,IF(F14=0,0,IF(F14&gt;6,E14-316,0))))</f>
        <v>19</v>
      </c>
    </row>
    <row r="15" spans="1:11" ht="16.5">
      <c r="A15" s="14" t="s">
        <v>445</v>
      </c>
      <c r="B15" s="4">
        <f>VLOOKUP(A15,联盟DKP榜单!A$1:C$598,3,FALSE)-40*COUNTIF(扣分!A:A,A15)</f>
        <v>90</v>
      </c>
      <c r="C15" s="24">
        <f>50*COUNTIF(帮战总榜!A$1:AB$150,$A15)+40*COUNTIF(掠夺!A$1:AB$150,$A15)</f>
        <v>40</v>
      </c>
      <c r="D15" s="24">
        <f>20*COUNTIF(YY统计!A$2:M$150,$A15)</f>
        <v>60</v>
      </c>
      <c r="E15" s="24">
        <f>SUM(B15:D15)</f>
        <v>190</v>
      </c>
      <c r="F15" s="24">
        <f>IF(AND(E15&gt;=16,E15&lt;66),0.01,ROUNDDOWN((E15-16)/50,0))</f>
        <v>3</v>
      </c>
      <c r="G15" s="13">
        <f>IF(AND(F15&gt;=1,F15&lt;=6),E15-F15*50-16,IF(F15=0.01,E15-16,IF(F15=0,0,IF(F15&gt;6,E15-316,0))))</f>
        <v>24</v>
      </c>
    </row>
    <row r="16" spans="1:11" ht="16.5">
      <c r="A16" s="14" t="s">
        <v>349</v>
      </c>
      <c r="B16" s="4">
        <f>VLOOKUP(A16,联盟DKP榜单!A$1:C$598,3,FALSE)-40*COUNTIF(扣分!A:A,A16)</f>
        <v>90</v>
      </c>
      <c r="C16" s="24">
        <f>50*COUNTIF(帮战总榜!A$1:AB$150,$A16)+40*COUNTIF(掠夺!A$1:AB$150,$A16)</f>
        <v>40</v>
      </c>
      <c r="D16" s="24">
        <f>20*COUNTIF(YY统计!A$2:M$150,$A16)</f>
        <v>60</v>
      </c>
      <c r="E16" s="24">
        <f>SUM(B16:D16)</f>
        <v>190</v>
      </c>
      <c r="F16" s="24">
        <f>IF(AND(E16&gt;=16,E16&lt;66),0.01,ROUNDDOWN((E16-16)/50,0))</f>
        <v>3</v>
      </c>
      <c r="G16" s="13">
        <f>IF(AND(F16&gt;=1,F16&lt;=6),E16-F16*50-16,IF(F16=0.01,E16-16,IF(F16=0,0,IF(F16&gt;6,E16-316,0))))</f>
        <v>24</v>
      </c>
    </row>
    <row r="17" spans="1:7" ht="16.5">
      <c r="A17" s="14" t="s">
        <v>20</v>
      </c>
      <c r="B17" s="4">
        <f>VLOOKUP(A17,联盟DKP榜单!A$1:C$598,3,FALSE)-40*COUNTIF(扣分!A:A,A17)</f>
        <v>71</v>
      </c>
      <c r="C17" s="24">
        <f>50*COUNTIF(帮战总榜!A$1:AB$150,$A17)+40*COUNTIF(掠夺!A$1:AB$150,$A17)</f>
        <v>80</v>
      </c>
      <c r="D17" s="24">
        <f>20*COUNTIF(YY统计!A$2:M$150,$A17)</f>
        <v>20</v>
      </c>
      <c r="E17" s="24">
        <f>SUM(B17:D17)</f>
        <v>171</v>
      </c>
      <c r="F17" s="24">
        <f>IF(AND(E17&gt;=16,E17&lt;66),0.01,ROUNDDOWN((E17-16)/50,0))</f>
        <v>3</v>
      </c>
      <c r="G17" s="13">
        <f>IF(AND(F17&gt;=1,F17&lt;=6),E17-F17*50-16,IF(F17=0.01,E17-16,IF(F17=0,0,IF(F17&gt;6,E17-316,0))))</f>
        <v>5</v>
      </c>
    </row>
    <row r="18" spans="1:7" ht="16.5">
      <c r="A18" s="14" t="s">
        <v>441</v>
      </c>
      <c r="B18" s="4">
        <f>VLOOKUP(A18,联盟DKP榜单!A$1:C$598,3,FALSE)-40*COUNTIF(扣分!A:A,A18)</f>
        <v>70</v>
      </c>
      <c r="C18" s="24">
        <f>50*COUNTIF(帮战总榜!A$1:AB$150,$A18)+40*COUNTIF(掠夺!A$1:AB$150,$A18)</f>
        <v>80</v>
      </c>
      <c r="D18" s="24">
        <f>20*COUNTIF(YY统计!A$2:M$150,$A18)</f>
        <v>60</v>
      </c>
      <c r="E18" s="24">
        <f>SUM(B18:D18)</f>
        <v>210</v>
      </c>
      <c r="F18" s="24">
        <f>IF(AND(E18&gt;=16,E18&lt;66),0.01,ROUNDDOWN((E18-16)/50,0))</f>
        <v>3</v>
      </c>
      <c r="G18" s="13">
        <f>IF(AND(F18&gt;=1,F18&lt;=6),E18-F18*50-16,IF(F18=0.01,E18-16,IF(F18=0,0,IF(F18&gt;6,E18-316,0))))</f>
        <v>44</v>
      </c>
    </row>
    <row r="19" spans="1:7" ht="16.5">
      <c r="A19" s="14" t="s">
        <v>351</v>
      </c>
      <c r="B19" s="4">
        <f>VLOOKUP(A19,联盟DKP榜单!A$1:C$598,3,FALSE)-40*COUNTIF(扣分!A:A,A19)</f>
        <v>70</v>
      </c>
      <c r="C19" s="24">
        <f>50*COUNTIF(帮战总榜!A$1:AB$150,$A19)+40*COUNTIF(掠夺!A$1:AB$150,$A19)</f>
        <v>80</v>
      </c>
      <c r="D19" s="24">
        <f>20*COUNTIF(YY统计!A$2:M$150,$A19)</f>
        <v>60</v>
      </c>
      <c r="E19" s="24">
        <f>SUM(B19:D19)</f>
        <v>210</v>
      </c>
      <c r="F19" s="24">
        <f>IF(AND(E19&gt;=16,E19&lt;66),0.01,ROUNDDOWN((E19-16)/50,0))</f>
        <v>3</v>
      </c>
      <c r="G19" s="13">
        <f>IF(AND(F19&gt;=1,F19&lt;=6),E19-F19*50-16,IF(F19=0.01,E19-16,IF(F19=0,0,IF(F19&gt;6,E19-316,0))))</f>
        <v>44</v>
      </c>
    </row>
    <row r="20" spans="1:7" ht="16.5">
      <c r="A20" s="14" t="s">
        <v>442</v>
      </c>
      <c r="B20" s="4">
        <f>VLOOKUP(A20,联盟DKP榜单!A$1:C$598,3,FALSE)-40*COUNTIF(扣分!A:A,A20)</f>
        <v>70</v>
      </c>
      <c r="C20" s="24">
        <f>50*COUNTIF(帮战总榜!A$1:AB$150,$A20)+40*COUNTIF(掠夺!A$1:AB$150,$A20)</f>
        <v>80</v>
      </c>
      <c r="D20" s="24">
        <f>20*COUNTIF(YY统计!A$2:M$150,$A20)</f>
        <v>60</v>
      </c>
      <c r="E20" s="24">
        <f>SUM(B20:D20)</f>
        <v>210</v>
      </c>
      <c r="F20" s="24">
        <f>IF(AND(E20&gt;=16,E20&lt;66),0.01,ROUNDDOWN((E20-16)/50,0))</f>
        <v>3</v>
      </c>
      <c r="G20" s="13">
        <f>IF(AND(F20&gt;=1,F20&lt;=6),E20-F20*50-16,IF(F20=0.01,E20-16,IF(F20=0,0,IF(F20&gt;6,E20-316,0))))</f>
        <v>44</v>
      </c>
    </row>
    <row r="21" spans="1:7" ht="16.5">
      <c r="A21" s="14" t="s">
        <v>420</v>
      </c>
      <c r="B21" s="4">
        <f>VLOOKUP(A21,联盟DKP榜单!A$1:C$598,3,FALSE)-40*COUNTIF(扣分!A:A,A21)</f>
        <v>125</v>
      </c>
      <c r="C21" s="24">
        <f>50*COUNTIF(帮战总榜!A$1:AB$150,$A21)+40*COUNTIF(掠夺!A$1:AB$150,$A21)</f>
        <v>0</v>
      </c>
      <c r="D21" s="24">
        <f>20*COUNTIF(YY统计!A$2:M$150,$A21)</f>
        <v>40</v>
      </c>
      <c r="E21" s="24">
        <f>SUM(B21:D21)</f>
        <v>165</v>
      </c>
      <c r="F21" s="24">
        <f>IF(AND(E21&gt;=16,E21&lt;66),0.01,ROUNDDOWN((E21-16)/50,0))</f>
        <v>2</v>
      </c>
      <c r="G21" s="13">
        <f>IF(AND(F21&gt;=1,F21&lt;=6),E21-F21*50-16,IF(F21=0.01,E21-16,IF(F21=0,0,IF(F21&gt;6,E21-316,0))))</f>
        <v>49</v>
      </c>
    </row>
    <row r="22" spans="1:7" ht="16.5">
      <c r="A22" s="14" t="s">
        <v>352</v>
      </c>
      <c r="B22" s="4">
        <f>VLOOKUP(A22,联盟DKP榜单!A$1:C$598,3,FALSE)-40*COUNTIF(扣分!A:A,A22)</f>
        <v>105</v>
      </c>
      <c r="C22" s="24">
        <f>50*COUNTIF(帮战总榜!A$1:AB$150,$A22)+40*COUNTIF(掠夺!A$1:AB$150,$A22)</f>
        <v>0</v>
      </c>
      <c r="D22" s="24">
        <f>20*COUNTIF(YY统计!A$2:M$150,$A22)</f>
        <v>40</v>
      </c>
      <c r="E22" s="24">
        <f>SUM(B22:D22)</f>
        <v>145</v>
      </c>
      <c r="F22" s="24">
        <f>IF(AND(E22&gt;=16,E22&lt;66),0.01,ROUNDDOWN((E22-16)/50,0))</f>
        <v>2</v>
      </c>
      <c r="G22" s="13">
        <f>IF(AND(F22&gt;=1,F22&lt;=6),E22-F22*50-16,IF(F22=0.01,E22-16,IF(F22=0,0,IF(F22&gt;6,E22-316,0))))</f>
        <v>29</v>
      </c>
    </row>
    <row r="23" spans="1:7" ht="16.5">
      <c r="A23" s="14" t="s">
        <v>343</v>
      </c>
      <c r="B23" s="4">
        <f>VLOOKUP(A23,联盟DKP榜单!A$1:C$598,3,FALSE)-40*COUNTIF(扣分!A:A,A23)</f>
        <v>91</v>
      </c>
      <c r="C23" s="24">
        <f>50*COUNTIF(帮战总榜!A$1:AB$150,$A23)+40*COUNTIF(掠夺!A$1:AB$150,$A23)</f>
        <v>0</v>
      </c>
      <c r="D23" s="24">
        <f>20*COUNTIF(YY统计!A$2:M$150,$A23)</f>
        <v>40</v>
      </c>
      <c r="E23" s="24">
        <f>SUM(B23:D23)</f>
        <v>131</v>
      </c>
      <c r="F23" s="24">
        <f>IF(AND(E23&gt;=16,E23&lt;66),0.01,ROUNDDOWN((E23-16)/50,0))</f>
        <v>2</v>
      </c>
      <c r="G23" s="13">
        <f>IF(AND(F23&gt;=1,F23&lt;=6),E23-F23*50-16,IF(F23=0.01,E23-16,IF(F23=0,0,IF(F23&gt;6,E23-316,0))))</f>
        <v>15</v>
      </c>
    </row>
    <row r="24" spans="1:7" ht="16.5">
      <c r="A24" s="14" t="s">
        <v>356</v>
      </c>
      <c r="B24" s="4">
        <f>VLOOKUP(A24,联盟DKP榜单!A$1:C$598,3,FALSE)-40*COUNTIF(扣分!A:A,A24)</f>
        <v>70</v>
      </c>
      <c r="C24" s="24">
        <f>50*COUNTIF(帮战总榜!A$1:AB$150,$A24)+40*COUNTIF(掠夺!A$1:AB$150,$A24)</f>
        <v>80</v>
      </c>
      <c r="D24" s="24">
        <f>20*COUNTIF(YY统计!A$2:M$150,$A24)</f>
        <v>0</v>
      </c>
      <c r="E24" s="24">
        <f>SUM(B24:D24)</f>
        <v>150</v>
      </c>
      <c r="F24" s="24">
        <f>IF(AND(E24&gt;=16,E24&lt;66),0.01,ROUNDDOWN((E24-16)/50,0))</f>
        <v>2</v>
      </c>
      <c r="G24" s="13">
        <f>IF(AND(F24&gt;=1,F24&lt;=6),E24-F24*50-16,IF(F24=0.01,E24-16,IF(F24=0,0,IF(F24&gt;6,E24-316,0))))</f>
        <v>34</v>
      </c>
    </row>
    <row r="25" spans="1:7" ht="16.5">
      <c r="A25" s="14" t="s">
        <v>561</v>
      </c>
      <c r="B25" s="4">
        <f>VLOOKUP(A25,联盟DKP榜单!A$1:C$598,3,FALSE)-40*COUNTIF(扣分!A:A,A25)</f>
        <v>70</v>
      </c>
      <c r="C25" s="24">
        <f>50*COUNTIF(帮战总榜!A$1:AB$150,$A25)+40*COUNTIF(掠夺!A$1:AB$150,$A25)</f>
        <v>0</v>
      </c>
      <c r="D25" s="24">
        <f>20*COUNTIF(YY统计!A$2:M$150,$A25)</f>
        <v>60</v>
      </c>
      <c r="E25" s="24">
        <f>SUM(B25:D25)</f>
        <v>130</v>
      </c>
      <c r="F25" s="24">
        <f>IF(AND(E25&gt;=16,E25&lt;66),0.01,ROUNDDOWN((E25-16)/50,0))</f>
        <v>2</v>
      </c>
      <c r="G25" s="13">
        <f>IF(AND(F25&gt;=1,F25&lt;=6),E25-F25*50-16,IF(F25=0.01,E25-16,IF(F25=0,0,IF(F25&gt;6,E25-316,0))))</f>
        <v>14</v>
      </c>
    </row>
    <row r="26" spans="1:7" ht="16.5">
      <c r="A26" s="14" t="s">
        <v>361</v>
      </c>
      <c r="B26" s="4">
        <f>VLOOKUP(A26,联盟DKP榜单!A$1:C$598,3,FALSE)-40*COUNTIF(扣分!A:A,A26)</f>
        <v>105</v>
      </c>
      <c r="C26" s="24">
        <f>50*COUNTIF(帮战总榜!A$1:AB$150,$A26)+40*COUNTIF(掠夺!A$1:AB$150,$A26)</f>
        <v>0</v>
      </c>
      <c r="D26" s="24">
        <f>20*COUNTIF(YY统计!A$2:M$150,$A26)</f>
        <v>0</v>
      </c>
      <c r="E26" s="24">
        <f>SUM(B26:D26)</f>
        <v>105</v>
      </c>
      <c r="F26" s="24">
        <f>IF(AND(E26&gt;=16,E26&lt;66),0.01,ROUNDDOWN((E26-16)/50,0))</f>
        <v>1</v>
      </c>
      <c r="G26" s="13">
        <f>IF(AND(F26&gt;=1,F26&lt;=6),E26-F26*50-16,IF(F26=0.01,E26-16,IF(F26=0,0,IF(F26&gt;6,E26-316,0))))</f>
        <v>39</v>
      </c>
    </row>
    <row r="27" spans="1:7" ht="16.5">
      <c r="A27" s="14" t="s">
        <v>560</v>
      </c>
      <c r="B27" s="4">
        <f>VLOOKUP(A27,联盟DKP榜单!A$1:C$598,3,FALSE)-40*COUNTIF(扣分!A:A,A27)</f>
        <v>105</v>
      </c>
      <c r="C27" s="24">
        <f>50*COUNTIF(帮战总榜!A$1:AB$150,$A27)+40*COUNTIF(掠夺!A$1:AB$150,$A27)</f>
        <v>0</v>
      </c>
      <c r="D27" s="24">
        <f>20*COUNTIF(YY统计!A$2:M$150,$A27)</f>
        <v>0</v>
      </c>
      <c r="E27" s="24">
        <f>SUM(B27:D27)</f>
        <v>105</v>
      </c>
      <c r="F27" s="24">
        <f>IF(AND(E27&gt;=16,E27&lt;66),0.01,ROUNDDOWN((E27-16)/50,0))</f>
        <v>1</v>
      </c>
      <c r="G27" s="13">
        <f>IF(AND(F27&gt;=1,F27&lt;=6),E27-F27*50-16,IF(F27=0.01,E27-16,IF(F27=0,0,IF(F27&gt;6,E27-316,0))))</f>
        <v>39</v>
      </c>
    </row>
    <row r="28" spans="1:7" ht="16.5">
      <c r="A28" s="14" t="s">
        <v>447</v>
      </c>
      <c r="B28" s="4">
        <f>VLOOKUP(A28,联盟DKP榜单!A$1:C$598,3,FALSE)-40*COUNTIF(扣分!A:A,A28)</f>
        <v>74</v>
      </c>
      <c r="C28" s="24">
        <f>50*COUNTIF(帮战总榜!A$1:AB$150,$A28)+40*COUNTIF(掠夺!A$1:AB$150,$A28)</f>
        <v>0</v>
      </c>
      <c r="D28" s="24">
        <f>20*COUNTIF(YY统计!A$2:M$150,$A28)</f>
        <v>20</v>
      </c>
      <c r="E28" s="24">
        <f>SUM(B28:D28)</f>
        <v>94</v>
      </c>
      <c r="F28" s="24">
        <f>IF(AND(E28&gt;=16,E28&lt;66),0.01,ROUNDDOWN((E28-16)/50,0))</f>
        <v>1</v>
      </c>
      <c r="G28" s="13">
        <f>IF(AND(F28&gt;=1,F28&lt;=6),E28-F28*50-16,IF(F28=0.01,E28-16,IF(F28=0,0,IF(F28&gt;6,E28-316,0))))</f>
        <v>28</v>
      </c>
    </row>
    <row r="29" spans="1:7" ht="16.5">
      <c r="A29" s="14" t="s">
        <v>371</v>
      </c>
      <c r="B29" s="4">
        <f>VLOOKUP(A29,联盟DKP榜单!A$1:C$598,3,FALSE)-40*COUNTIF(扣分!A:A,A29)</f>
        <v>71</v>
      </c>
      <c r="C29" s="24">
        <f>50*COUNTIF(帮战总榜!A$1:AB$150,$A29)+40*COUNTIF(掠夺!A$1:AB$150,$A29)</f>
        <v>0</v>
      </c>
      <c r="D29" s="24">
        <f>20*COUNTIF(YY统计!A$2:M$150,$A29)</f>
        <v>0</v>
      </c>
      <c r="E29" s="24">
        <f>SUM(B29:D29)</f>
        <v>71</v>
      </c>
      <c r="F29" s="24">
        <f>IF(AND(E29&gt;=16,E29&lt;66),0.01,ROUNDDOWN((E29-16)/50,0))</f>
        <v>1</v>
      </c>
      <c r="G29" s="13">
        <f>IF(AND(F29&gt;=1,F29&lt;=6),E29-F29*50-16,IF(F29=0.01,E29-16,IF(F29=0,0,IF(F29&gt;6,E29-316,0))))</f>
        <v>5</v>
      </c>
    </row>
    <row r="30" spans="1:7" ht="16.5">
      <c r="A30" s="14" t="s">
        <v>443</v>
      </c>
      <c r="B30" s="4">
        <f>VLOOKUP(A30,联盟DKP榜单!A$1:C$598,3,FALSE)-40*COUNTIF(扣分!A:A,A30)</f>
        <v>71</v>
      </c>
      <c r="C30" s="24">
        <f>50*COUNTIF(帮战总榜!A$1:AB$150,$A30)+40*COUNTIF(掠夺!A$1:AB$150,$A30)</f>
        <v>0</v>
      </c>
      <c r="D30" s="24">
        <f>20*COUNTIF(YY统计!A$2:M$150,$A30)</f>
        <v>20</v>
      </c>
      <c r="E30" s="24">
        <f>SUM(B30:D30)</f>
        <v>91</v>
      </c>
      <c r="F30" s="24">
        <f>IF(AND(E30&gt;=16,E30&lt;66),0.01,ROUNDDOWN((E30-16)/50,0))</f>
        <v>1</v>
      </c>
      <c r="G30" s="13">
        <f>IF(AND(F30&gt;=1,F30&lt;=6),E30-F30*50-16,IF(F30=0.01,E30-16,IF(F30=0,0,IF(F30&gt;6,E30-316,0))))</f>
        <v>25</v>
      </c>
    </row>
    <row r="31" spans="1:7" ht="16.5">
      <c r="A31" s="14" t="s">
        <v>360</v>
      </c>
      <c r="B31" s="4">
        <f>VLOOKUP(A31,联盟DKP榜单!A$1:C$598,3,FALSE)-40*COUNTIF(扣分!A:A,A31)</f>
        <v>70</v>
      </c>
      <c r="C31" s="24">
        <f>50*COUNTIF(帮战总榜!A$1:AB$150,$A31)+40*COUNTIF(掠夺!A$1:AB$150,$A31)</f>
        <v>0</v>
      </c>
      <c r="D31" s="24">
        <f>20*COUNTIF(YY统计!A$2:M$150,$A31)</f>
        <v>0</v>
      </c>
      <c r="E31" s="24">
        <f>SUM(B31:D31)</f>
        <v>70</v>
      </c>
      <c r="F31" s="24">
        <f>IF(AND(E31&gt;=16,E31&lt;66),0.01,ROUNDDOWN((E31-16)/50,0))</f>
        <v>1</v>
      </c>
      <c r="G31" s="13">
        <f>IF(AND(F31&gt;=1,F31&lt;=6),E31-F31*50-16,IF(F31=0.01,E31-16,IF(F31=0,0,IF(F31&gt;6,E31-316,0))))</f>
        <v>4</v>
      </c>
    </row>
    <row r="32" spans="1:7" ht="16.5">
      <c r="A32" s="14" t="s">
        <v>357</v>
      </c>
      <c r="B32" s="4">
        <f>VLOOKUP(A32,联盟DKP榜单!A$1:C$598,3,FALSE)-40*COUNTIF(扣分!A:A,A32)</f>
        <v>70</v>
      </c>
      <c r="C32" s="24">
        <f>50*COUNTIF(帮战总榜!A$1:AB$150,$A32)+40*COUNTIF(掠夺!A$1:AB$150,$A32)</f>
        <v>0</v>
      </c>
      <c r="D32" s="24">
        <f>20*COUNTIF(YY统计!A$2:M$150,$A32)</f>
        <v>0</v>
      </c>
      <c r="E32" s="24">
        <f>SUM(B32:D32)</f>
        <v>70</v>
      </c>
      <c r="F32" s="24">
        <f>IF(AND(E32&gt;=16,E32&lt;66),0.01,ROUNDDOWN((E32-16)/50,0))</f>
        <v>1</v>
      </c>
      <c r="G32" s="13">
        <f>IF(AND(F32&gt;=1,F32&lt;=6),E32-F32*50-16,IF(F32=0.01,E32-16,IF(F32=0,0,IF(F32&gt;6,E32-316,0))))</f>
        <v>4</v>
      </c>
    </row>
    <row r="33" spans="1:7" ht="16.5">
      <c r="A33" s="14" t="s">
        <v>562</v>
      </c>
      <c r="B33" s="4">
        <f>VLOOKUP(A33,联盟DKP榜单!A$1:C$598,3,FALSE)-40*COUNTIF(扣分!A:A,A33)</f>
        <v>70</v>
      </c>
      <c r="C33" s="24">
        <f>50*COUNTIF(帮战总榜!A$1:AB$150,$A33)+40*COUNTIF(掠夺!A$1:AB$150,$A33)</f>
        <v>0</v>
      </c>
      <c r="D33" s="24">
        <f>20*COUNTIF(YY统计!A$2:M$150,$A33)</f>
        <v>0</v>
      </c>
      <c r="E33" s="24">
        <f>SUM(B33:D33)</f>
        <v>70</v>
      </c>
      <c r="F33" s="24">
        <f>IF(AND(E33&gt;=16,E33&lt;66),0.01,ROUNDDOWN((E33-16)/50,0))</f>
        <v>1</v>
      </c>
      <c r="G33" s="13">
        <f>IF(AND(F33&gt;=1,F33&lt;=6),E33-F33*50-16,IF(F33=0.01,E33-16,IF(F33=0,0,IF(F33&gt;6,E33-316,0))))</f>
        <v>4</v>
      </c>
    </row>
    <row r="34" spans="1:7" ht="16.5">
      <c r="A34" s="14" t="s">
        <v>444</v>
      </c>
      <c r="B34" s="4">
        <f>VLOOKUP(A34,联盟DKP榜单!A$1:C$598,3,FALSE)-40*COUNTIF(扣分!A:A,A34)</f>
        <v>70</v>
      </c>
      <c r="C34" s="24">
        <f>50*COUNTIF(帮战总榜!A$1:AB$150,$A34)+40*COUNTIF(掠夺!A$1:AB$150,$A34)</f>
        <v>40</v>
      </c>
      <c r="D34" s="24">
        <f>20*COUNTIF(YY统计!A$2:M$150,$A34)</f>
        <v>0</v>
      </c>
      <c r="E34" s="24">
        <f>SUM(B34:D34)</f>
        <v>110</v>
      </c>
      <c r="F34" s="24">
        <f>IF(AND(E34&gt;=16,E34&lt;66),0.01,ROUNDDOWN((E34-16)/50,0))</f>
        <v>1</v>
      </c>
      <c r="G34" s="13">
        <f>IF(AND(F34&gt;=1,F34&lt;=6),E34-F34*50-16,IF(F34=0.01,E34-16,IF(F34=0,0,IF(F34&gt;6,E34-316,0))))</f>
        <v>44</v>
      </c>
    </row>
    <row r="35" spans="1:7" ht="16.5">
      <c r="A35" s="14" t="s">
        <v>425</v>
      </c>
      <c r="B35" s="4">
        <f>VLOOKUP(A35,联盟DKP榜单!A$1:C$598,3,FALSE)-40*COUNTIF(扣分!A:A,A35)</f>
        <v>55</v>
      </c>
      <c r="C35" s="24">
        <f>50*COUNTIF(帮战总榜!A$1:AB$150,$A35)+40*COUNTIF(掠夺!A$1:AB$150,$A35)</f>
        <v>0</v>
      </c>
      <c r="D35" s="24">
        <f>20*COUNTIF(YY统计!A$2:M$150,$A35)</f>
        <v>20</v>
      </c>
      <c r="E35" s="24">
        <f>SUM(B35:D35)</f>
        <v>75</v>
      </c>
      <c r="F35" s="24">
        <f>IF(AND(E35&gt;=16,E35&lt;66),0.01,ROUNDDOWN((E35-16)/50,0))</f>
        <v>1</v>
      </c>
      <c r="G35" s="13">
        <f>IF(AND(F35&gt;=1,F35&lt;=6),E35-F35*50-16,IF(F35=0.01,E35-16,IF(F35=0,0,IF(F35&gt;6,E35-316,0))))</f>
        <v>9</v>
      </c>
    </row>
    <row r="36" spans="1:7" ht="16.5">
      <c r="A36" s="14" t="s">
        <v>571</v>
      </c>
      <c r="B36" s="4">
        <f>VLOOKUP(A36,联盟DKP榜单!A$1:C$598,3,FALSE)-40*COUNTIF(扣分!A:A,A36)</f>
        <v>35</v>
      </c>
      <c r="C36" s="24">
        <f>50*COUNTIF(帮战总榜!A$1:AB$150,$A36)+40*COUNTIF(掠夺!A$1:AB$150,$A36)</f>
        <v>0</v>
      </c>
      <c r="D36" s="24">
        <f>20*COUNTIF(YY统计!A$2:M$150,$A36)</f>
        <v>40</v>
      </c>
      <c r="E36" s="24">
        <f>SUM(B36:D36)</f>
        <v>75</v>
      </c>
      <c r="F36" s="24">
        <f>IF(AND(E36&gt;=16,E36&lt;66),0.01,ROUNDDOWN((E36-16)/50,0))</f>
        <v>1</v>
      </c>
      <c r="G36" s="13">
        <f>IF(AND(F36&gt;=1,F36&lt;=6),E36-F36*50-16,IF(F36=0.01,E36-16,IF(F36=0,0,IF(F36&gt;6,E36-316,0))))</f>
        <v>9</v>
      </c>
    </row>
    <row r="37" spans="1:7" ht="16.5">
      <c r="A37" s="14" t="s">
        <v>367</v>
      </c>
      <c r="B37" s="4">
        <f>VLOOKUP(A37,联盟DKP榜单!A$1:C$598,3,FALSE)-40*COUNTIF(扣分!A:A,A37)</f>
        <v>-40</v>
      </c>
      <c r="C37" s="24">
        <f>50*COUNTIF(帮战总榜!A$1:AB$150,$A37)+40*COUNTIF(掠夺!A$1:AB$150,$A37)</f>
        <v>80</v>
      </c>
      <c r="D37" s="24">
        <f>20*COUNTIF(YY统计!A$2:M$150,$A37)</f>
        <v>40</v>
      </c>
      <c r="E37" s="24">
        <f>SUM(B37:D37)</f>
        <v>80</v>
      </c>
      <c r="F37" s="24">
        <f>IF(AND(E37&gt;=16,E37&lt;66),0.01,ROUNDDOWN((E37-16)/50,0))</f>
        <v>1</v>
      </c>
      <c r="G37" s="13">
        <f>IF(AND(F37&gt;=1,F37&lt;=6),E37-F37*50-16,IF(F37=0.01,E37-16,IF(F37=0,0,IF(F37&gt;6,E37-316,0))))</f>
        <v>14</v>
      </c>
    </row>
    <row r="38" spans="1:7" ht="16.5">
      <c r="A38" s="14" t="s">
        <v>384</v>
      </c>
      <c r="B38" s="4">
        <f>VLOOKUP(A38,联盟DKP榜单!A$1:C$598,3,FALSE)-40*COUNTIF(扣分!A:A,A38)</f>
        <v>35</v>
      </c>
      <c r="C38" s="24">
        <f>50*COUNTIF(帮战总榜!A$1:AB$150,$A38)+40*COUNTIF(掠夺!A$1:AB$150,$A38)</f>
        <v>0</v>
      </c>
      <c r="D38" s="24">
        <f>20*COUNTIF(YY统计!A$2:M$150,$A38)</f>
        <v>0</v>
      </c>
      <c r="E38" s="24">
        <f>SUM(B38:D38)</f>
        <v>35</v>
      </c>
      <c r="F38" s="24">
        <f>IF(AND(E38&gt;=16,E38&lt;66),0.01,ROUNDDOWN((E38-16)/50,0))</f>
        <v>0.01</v>
      </c>
      <c r="G38" s="13">
        <f>IF(AND(F38&gt;=1,F38&lt;=6),E38-F38*50-16,IF(F38=0.01,E38-16,IF(F38=0,0,IF(F38&gt;6,E38-316,0))))</f>
        <v>19</v>
      </c>
    </row>
    <row r="39" spans="1:7" ht="16.5">
      <c r="A39" s="14" t="s">
        <v>569</v>
      </c>
      <c r="B39" s="4">
        <f>VLOOKUP(A39,联盟DKP榜单!A$1:C$598,3,FALSE)-40*COUNTIF(扣分!A:A,A39)</f>
        <v>35</v>
      </c>
      <c r="C39" s="24">
        <f>50*COUNTIF(帮战总榜!A$1:AB$150,$A39)+40*COUNTIF(掠夺!A$1:AB$150,$A39)</f>
        <v>0</v>
      </c>
      <c r="D39" s="24">
        <f>20*COUNTIF(YY统计!A$2:M$150,$A39)</f>
        <v>0</v>
      </c>
      <c r="E39" s="24">
        <f>SUM(B39:D39)</f>
        <v>35</v>
      </c>
      <c r="F39" s="24">
        <f>IF(AND(E39&gt;=16,E39&lt;66),0.01,ROUNDDOWN((E39-16)/50,0))</f>
        <v>0.01</v>
      </c>
      <c r="G39" s="13">
        <f>IF(AND(F39&gt;=1,F39&lt;=6),E39-F39*50-16,IF(F39=0.01,E39-16,IF(F39=0,0,IF(F39&gt;6,E39-316,0))))</f>
        <v>19</v>
      </c>
    </row>
    <row r="40" spans="1:7" ht="16.5">
      <c r="A40" s="14" t="s">
        <v>414</v>
      </c>
      <c r="B40" s="4">
        <f>VLOOKUP(A40,联盟DKP榜单!A$1:C$598,3,FALSE)-40*COUNTIF(扣分!A:A,A40)</f>
        <v>35</v>
      </c>
      <c r="C40" s="24">
        <f>50*COUNTIF(帮战总榜!A$1:AB$150,$A40)+40*COUNTIF(掠夺!A$1:AB$150,$A40)</f>
        <v>0</v>
      </c>
      <c r="D40" s="24">
        <f>20*COUNTIF(YY统计!A$2:M$150,$A40)</f>
        <v>0</v>
      </c>
      <c r="E40" s="24">
        <f>SUM(B40:D40)</f>
        <v>35</v>
      </c>
      <c r="F40" s="24">
        <f>IF(AND(E40&gt;=16,E40&lt;66),0.01,ROUNDDOWN((E40-16)/50,0))</f>
        <v>0.01</v>
      </c>
      <c r="G40" s="13">
        <f>IF(AND(F40&gt;=1,F40&lt;=6),E40-F40*50-16,IF(F40=0.01,E40-16,IF(F40=0,0,IF(F40&gt;6,E40-316,0))))</f>
        <v>19</v>
      </c>
    </row>
    <row r="41" spans="1:7" ht="16.5">
      <c r="A41" s="14" t="s">
        <v>570</v>
      </c>
      <c r="B41" s="4">
        <f>VLOOKUP(A41,联盟DKP榜单!A$1:C$598,3,FALSE)-40*COUNTIF(扣分!A:A,A41)</f>
        <v>35</v>
      </c>
      <c r="C41" s="24">
        <f>50*COUNTIF(帮战总榜!A$1:AB$150,$A41)+40*COUNTIF(掠夺!A$1:AB$150,$A41)</f>
        <v>0</v>
      </c>
      <c r="D41" s="24">
        <f>20*COUNTIF(YY统计!A$2:M$150,$A41)</f>
        <v>0</v>
      </c>
      <c r="E41" s="24">
        <f>SUM(B41:D41)</f>
        <v>35</v>
      </c>
      <c r="F41" s="24">
        <f>IF(AND(E41&gt;=16,E41&lt;66),0.01,ROUNDDOWN((E41-16)/50,0))</f>
        <v>0.01</v>
      </c>
      <c r="G41" s="13">
        <f>IF(AND(F41&gt;=1,F41&lt;=6),E41-F41*50-16,IF(F41=0.01,E41-16,IF(F41=0,0,IF(F41&gt;6,E41-316,0))))</f>
        <v>19</v>
      </c>
    </row>
    <row r="42" spans="1:7" ht="16.5">
      <c r="A42" s="14" t="s">
        <v>365</v>
      </c>
      <c r="B42" s="4">
        <f>VLOOKUP(A42,联盟DKP榜单!A$1:C$598,3,FALSE)-40*COUNTIF(扣分!A:A,A42)</f>
        <v>35</v>
      </c>
      <c r="C42" s="24">
        <f>50*COUNTIF(帮战总榜!A$1:AB$150,$A42)+40*COUNTIF(掠夺!A$1:AB$150,$A42)</f>
        <v>0</v>
      </c>
      <c r="D42" s="24">
        <f>20*COUNTIF(YY统计!A$2:M$150,$A42)</f>
        <v>0</v>
      </c>
      <c r="E42" s="24">
        <f>SUM(B42:D42)</f>
        <v>35</v>
      </c>
      <c r="F42" s="24">
        <f>IF(AND(E42&gt;=16,E42&lt;66),0.01,ROUNDDOWN((E42-16)/50,0))</f>
        <v>0.01</v>
      </c>
      <c r="G42" s="13">
        <f>IF(AND(F42&gt;=1,F42&lt;=6),E42-F42*50-16,IF(F42=0.01,E42-16,IF(F42=0,0,IF(F42&gt;6,E42-316,0))))</f>
        <v>19</v>
      </c>
    </row>
    <row r="43" spans="1:7" ht="16.5">
      <c r="A43" s="14" t="s">
        <v>363</v>
      </c>
      <c r="B43" s="4">
        <f>VLOOKUP(A43,联盟DKP榜单!A$1:C$598,3,FALSE)-40*COUNTIF(扣分!A:A,A43)</f>
        <v>0</v>
      </c>
      <c r="C43" s="24">
        <f>50*COUNTIF(帮战总榜!A$1:AB$150,$A43)+40*COUNTIF(掠夺!A$1:AB$150,$A43)</f>
        <v>0</v>
      </c>
      <c r="D43" s="24">
        <f>20*COUNTIF(YY统计!A$2:M$150,$A43)</f>
        <v>20</v>
      </c>
      <c r="E43" s="24">
        <f>SUM(B43:D43)</f>
        <v>20</v>
      </c>
      <c r="F43" s="24">
        <f>IF(AND(E43&gt;=16,E43&lt;66),0.01,ROUNDDOWN((E43-16)/50,0))</f>
        <v>0.01</v>
      </c>
      <c r="G43" s="13">
        <f>IF(AND(F43&gt;=1,F43&lt;=6),E43-F43*50-16,IF(F43=0.01,E43-16,IF(F43=0,0,IF(F43&gt;6,E43-316,0))))</f>
        <v>4</v>
      </c>
    </row>
    <row r="44" spans="1:7" ht="16.5">
      <c r="A44" s="14" t="s">
        <v>430</v>
      </c>
      <c r="B44" s="4">
        <f>VLOOKUP(A44,联盟DKP榜单!A$1:C$598,3,FALSE)-40*COUNTIF(扣分!A:A,A44)</f>
        <v>0</v>
      </c>
      <c r="C44" s="24">
        <f>50*COUNTIF(帮战总榜!A$1:AB$150,$A44)+40*COUNTIF(掠夺!A$1:AB$150,$A44)</f>
        <v>40</v>
      </c>
      <c r="D44" s="24">
        <f>20*COUNTIF(YY统计!A$2:M$150,$A44)</f>
        <v>20</v>
      </c>
      <c r="E44" s="24">
        <f>SUM(B44:D44)</f>
        <v>60</v>
      </c>
      <c r="F44" s="24">
        <f>IF(AND(E44&gt;=16,E44&lt;66),0.01,ROUNDDOWN((E44-16)/50,0))</f>
        <v>0.01</v>
      </c>
      <c r="G44" s="13">
        <f>IF(AND(F44&gt;=1,F44&lt;=6),E44-F44*50-16,IF(F44=0.01,E44-16,IF(F44=0,0,IF(F44&gt;6,E44-316,0))))</f>
        <v>44</v>
      </c>
    </row>
    <row r="45" spans="1:7" ht="16.5">
      <c r="A45" s="14" t="s">
        <v>595</v>
      </c>
      <c r="B45" s="4">
        <f>VLOOKUP(A45,联盟DKP榜单!A$1:C$598,3,FALSE)-40*COUNTIF(扣分!A:A,A45)</f>
        <v>0</v>
      </c>
      <c r="C45" s="24">
        <f>50*COUNTIF(帮战总榜!A$1:AB$150,$A45)+40*COUNTIF(掠夺!A$1:AB$150,$A45)</f>
        <v>0</v>
      </c>
      <c r="D45" s="24">
        <f>20*COUNTIF(YY统计!A$2:M$150,$A45)</f>
        <v>60</v>
      </c>
      <c r="E45" s="24">
        <f>SUM(B45:D45)</f>
        <v>60</v>
      </c>
      <c r="F45" s="24">
        <f>IF(AND(E45&gt;=16,E45&lt;66),0.01,ROUNDDOWN((E45-16)/50,0))</f>
        <v>0.01</v>
      </c>
      <c r="G45" s="13">
        <f>IF(AND(F45&gt;=1,F45&lt;=6),E45-F45*50-16,IF(F45=0.01,E45-16,IF(F45=0,0,IF(F45&gt;6,E45-316,0))))</f>
        <v>44</v>
      </c>
    </row>
    <row r="46" spans="1:7" ht="16.5">
      <c r="A46" s="14" t="s">
        <v>451</v>
      </c>
      <c r="B46" s="4">
        <f>VLOOKUP(A46,联盟DKP榜单!A$1:C$598,3,FALSE)-40*COUNTIF(扣分!A:A,A46)</f>
        <v>2</v>
      </c>
      <c r="C46" s="24">
        <f>50*COUNTIF(帮战总榜!A$1:AB$150,$A46)+40*COUNTIF(掠夺!A$1:AB$150,$A46)</f>
        <v>0</v>
      </c>
      <c r="D46" s="24">
        <f>20*COUNTIF(YY统计!A$2:M$150,$A46)</f>
        <v>0</v>
      </c>
      <c r="E46" s="24">
        <f>SUM(B46:D46)</f>
        <v>2</v>
      </c>
      <c r="F46" s="24">
        <f>IF(AND(E46&gt;=16,E46&lt;66),0.01,ROUNDDOWN((E46-16)/50,0))</f>
        <v>0</v>
      </c>
      <c r="G46" s="13">
        <f>IF(AND(F46&gt;=1,F46&lt;=6),E46-F46*50-16,IF(F46=0.01,E46-16,IF(F46=0,0,IF(F46&gt;6,E46-316,0))))</f>
        <v>0</v>
      </c>
    </row>
    <row r="47" spans="1:7" ht="16.5">
      <c r="A47" s="14" t="s">
        <v>459</v>
      </c>
      <c r="B47" s="4">
        <f>VLOOKUP(A47,联盟DKP榜单!A$1:C$598,3,FALSE)-40*COUNTIF(扣分!A:A,A47)</f>
        <v>1</v>
      </c>
      <c r="C47" s="24">
        <f>50*COUNTIF(帮战总榜!A$1:AB$150,$A47)+40*COUNTIF(掠夺!A$1:AB$150,$A47)</f>
        <v>0</v>
      </c>
      <c r="D47" s="24">
        <f>20*COUNTIF(YY统计!A$2:M$150,$A47)</f>
        <v>0</v>
      </c>
      <c r="E47" s="24">
        <f>SUM(B47:D47)</f>
        <v>1</v>
      </c>
      <c r="F47" s="24">
        <f>IF(AND(E47&gt;=16,E47&lt;66),0.01,ROUNDDOWN((E47-16)/50,0))</f>
        <v>0</v>
      </c>
      <c r="G47" s="13">
        <f>IF(AND(F47&gt;=1,F47&lt;=6),E47-F47*50-16,IF(F47=0.01,E47-16,IF(F47=0,0,IF(F47&gt;6,E47-316,0))))</f>
        <v>0</v>
      </c>
    </row>
    <row r="48" spans="1:7" ht="16.5">
      <c r="A48" s="14" t="s">
        <v>575</v>
      </c>
      <c r="B48" s="4">
        <f>VLOOKUP(A48,联盟DKP榜单!A$1:C$598,3,FALSE)-40*COUNTIF(扣分!A:A,A48)</f>
        <v>0</v>
      </c>
      <c r="C48" s="24">
        <f>50*COUNTIF(帮战总榜!A$1:AB$150,$A48)+40*COUNTIF(掠夺!A$1:AB$150,$A48)</f>
        <v>0</v>
      </c>
      <c r="D48" s="24">
        <f>20*COUNTIF(YY统计!A$2:M$150,$A48)</f>
        <v>0</v>
      </c>
      <c r="E48" s="24">
        <f>SUM(B48:D48)</f>
        <v>0</v>
      </c>
      <c r="F48" s="24">
        <f>IF(AND(E48&gt;=16,E48&lt;66),0.01,ROUNDDOWN((E48-16)/50,0))</f>
        <v>0</v>
      </c>
      <c r="G48" s="13">
        <f>IF(AND(F48&gt;=1,F48&lt;=6),E48-F48*50-16,IF(F48=0.01,E48-16,IF(F48=0,0,IF(F48&gt;6,E48-316,0))))</f>
        <v>0</v>
      </c>
    </row>
    <row r="49" spans="1:7" ht="16.5">
      <c r="A49" s="14" t="s">
        <v>372</v>
      </c>
      <c r="B49" s="4">
        <f>VLOOKUP(A49,联盟DKP榜单!A$1:C$598,3,FALSE)-40*COUNTIF(扣分!A:A,A49)</f>
        <v>0</v>
      </c>
      <c r="C49" s="24">
        <f>50*COUNTIF(帮战总榜!A$1:AB$150,$A49)+40*COUNTIF(掠夺!A$1:AB$150,$A49)</f>
        <v>0</v>
      </c>
      <c r="D49" s="24">
        <f>20*COUNTIF(YY统计!A$2:M$150,$A49)</f>
        <v>0</v>
      </c>
      <c r="E49" s="24">
        <f>SUM(B49:D49)</f>
        <v>0</v>
      </c>
      <c r="F49" s="24">
        <f>IF(AND(E49&gt;=16,E49&lt;66),0.01,ROUNDDOWN((E49-16)/50,0))</f>
        <v>0</v>
      </c>
      <c r="G49" s="13">
        <f>IF(AND(F49&gt;=1,F49&lt;=6),E49-F49*50-16,IF(F49=0.01,E49-16,IF(F49=0,0,IF(F49&gt;6,E49-316,0))))</f>
        <v>0</v>
      </c>
    </row>
    <row r="50" spans="1:7" ht="16.5">
      <c r="A50" s="14" t="s">
        <v>373</v>
      </c>
      <c r="B50" s="4">
        <f>VLOOKUP(A50,联盟DKP榜单!A$1:C$598,3,FALSE)-40*COUNTIF(扣分!A:A,A50)</f>
        <v>0</v>
      </c>
      <c r="C50" s="24">
        <f>50*COUNTIF(帮战总榜!A$1:AB$150,$A50)+40*COUNTIF(掠夺!A$1:AB$150,$A50)</f>
        <v>0</v>
      </c>
      <c r="D50" s="24">
        <f>20*COUNTIF(YY统计!A$2:M$150,$A50)</f>
        <v>0</v>
      </c>
      <c r="E50" s="24">
        <f>SUM(B50:D50)</f>
        <v>0</v>
      </c>
      <c r="F50" s="24">
        <f>IF(AND(E50&gt;=16,E50&lt;66),0.01,ROUNDDOWN((E50-16)/50,0))</f>
        <v>0</v>
      </c>
      <c r="G50" s="13">
        <f>IF(AND(F50&gt;=1,F50&lt;=6),E50-F50*50-16,IF(F50=0.01,E50-16,IF(F50=0,0,IF(F50&gt;6,E50-316,0))))</f>
        <v>0</v>
      </c>
    </row>
    <row r="51" spans="1:7" ht="16.5">
      <c r="A51" s="14" t="s">
        <v>374</v>
      </c>
      <c r="B51" s="4">
        <f>VLOOKUP(A51,联盟DKP榜单!A$1:C$598,3,FALSE)-40*COUNTIF(扣分!A:A,A51)</f>
        <v>0</v>
      </c>
      <c r="C51" s="24">
        <f>50*COUNTIF(帮战总榜!A$1:AB$150,$A51)+40*COUNTIF(掠夺!A$1:AB$150,$A51)</f>
        <v>0</v>
      </c>
      <c r="D51" s="24">
        <f>20*COUNTIF(YY统计!A$2:M$150,$A51)</f>
        <v>0</v>
      </c>
      <c r="E51" s="24">
        <f>SUM(B51:D51)</f>
        <v>0</v>
      </c>
      <c r="F51" s="24">
        <f>IF(AND(E51&gt;=16,E51&lt;66),0.01,ROUNDDOWN((E51-16)/50,0))</f>
        <v>0</v>
      </c>
      <c r="G51" s="13">
        <f>IF(AND(F51&gt;=1,F51&lt;=6),E51-F51*50-16,IF(F51=0.01,E51-16,IF(F51=0,0,IF(F51&gt;6,E51-316,0))))</f>
        <v>0</v>
      </c>
    </row>
    <row r="52" spans="1:7" ht="16.5">
      <c r="A52" s="14" t="s">
        <v>375</v>
      </c>
      <c r="B52" s="4">
        <f>VLOOKUP(A52,联盟DKP榜单!A$1:C$598,3,FALSE)-40*COUNTIF(扣分!A:A,A52)</f>
        <v>0</v>
      </c>
      <c r="C52" s="24">
        <f>50*COUNTIF(帮战总榜!A$1:AB$150,$A52)+40*COUNTIF(掠夺!A$1:AB$150,$A52)</f>
        <v>0</v>
      </c>
      <c r="D52" s="24">
        <f>20*COUNTIF(YY统计!A$2:M$150,$A52)</f>
        <v>0</v>
      </c>
      <c r="E52" s="24">
        <f>SUM(B52:D52)</f>
        <v>0</v>
      </c>
      <c r="F52" s="24">
        <f>IF(AND(E52&gt;=16,E52&lt;66),0.01,ROUNDDOWN((E52-16)/50,0))</f>
        <v>0</v>
      </c>
      <c r="G52" s="13">
        <f>IF(AND(F52&gt;=1,F52&lt;=6),E52-F52*50-16,IF(F52=0.01,E52-16,IF(F52=0,0,IF(F52&gt;6,E52-316,0))))</f>
        <v>0</v>
      </c>
    </row>
    <row r="53" spans="1:7" ht="16.5">
      <c r="A53" s="14" t="s">
        <v>376</v>
      </c>
      <c r="B53" s="4">
        <f>VLOOKUP(A53,联盟DKP榜单!A$1:C$598,3,FALSE)-40*COUNTIF(扣分!A:A,A53)</f>
        <v>0</v>
      </c>
      <c r="C53" s="24">
        <f>50*COUNTIF(帮战总榜!A$1:AB$150,$A53)+40*COUNTIF(掠夺!A$1:AB$150,$A53)</f>
        <v>0</v>
      </c>
      <c r="D53" s="24">
        <f>20*COUNTIF(YY统计!A$2:M$150,$A53)</f>
        <v>0</v>
      </c>
      <c r="E53" s="24">
        <f>SUM(B53:D53)</f>
        <v>0</v>
      </c>
      <c r="F53" s="24">
        <f>IF(AND(E53&gt;=16,E53&lt;66),0.01,ROUNDDOWN((E53-16)/50,0))</f>
        <v>0</v>
      </c>
      <c r="G53" s="13">
        <f>IF(AND(F53&gt;=1,F53&lt;=6),E53-F53*50-16,IF(F53=0.01,E53-16,IF(F53=0,0,IF(F53&gt;6,E53-316,0))))</f>
        <v>0</v>
      </c>
    </row>
    <row r="54" spans="1:7" ht="16.5">
      <c r="A54" s="14" t="s">
        <v>377</v>
      </c>
      <c r="B54" s="4">
        <f>VLOOKUP(A54,联盟DKP榜单!A$1:C$598,3,FALSE)-40*COUNTIF(扣分!A:A,A54)</f>
        <v>0</v>
      </c>
      <c r="C54" s="24">
        <f>50*COUNTIF(帮战总榜!A$1:AB$150,$A54)+40*COUNTIF(掠夺!A$1:AB$150,$A54)</f>
        <v>0</v>
      </c>
      <c r="D54" s="24">
        <f>20*COUNTIF(YY统计!A$2:M$150,$A54)</f>
        <v>0</v>
      </c>
      <c r="E54" s="24">
        <f>SUM(B54:D54)</f>
        <v>0</v>
      </c>
      <c r="F54" s="24">
        <f>IF(AND(E54&gt;=16,E54&lt;66),0.01,ROUNDDOWN((E54-16)/50,0))</f>
        <v>0</v>
      </c>
      <c r="G54" s="13">
        <f>IF(AND(F54&gt;=1,F54&lt;=6),E54-F54*50-16,IF(F54=0.01,E54-16,IF(F54=0,0,IF(F54&gt;6,E54-316,0))))</f>
        <v>0</v>
      </c>
    </row>
    <row r="55" spans="1:7" ht="16.5">
      <c r="A55" s="14" t="s">
        <v>378</v>
      </c>
      <c r="B55" s="4">
        <f>VLOOKUP(A55,联盟DKP榜单!A$1:C$598,3,FALSE)-40*COUNTIF(扣分!A:A,A55)</f>
        <v>0</v>
      </c>
      <c r="C55" s="24">
        <f>50*COUNTIF(帮战总榜!A$1:AB$150,$A55)+40*COUNTIF(掠夺!A$1:AB$150,$A55)</f>
        <v>0</v>
      </c>
      <c r="D55" s="24">
        <f>20*COUNTIF(YY统计!A$2:M$150,$A55)</f>
        <v>0</v>
      </c>
      <c r="E55" s="24">
        <f>SUM(B55:D55)</f>
        <v>0</v>
      </c>
      <c r="F55" s="24">
        <f>IF(AND(E55&gt;=16,E55&lt;66),0.01,ROUNDDOWN((E55-16)/50,0))</f>
        <v>0</v>
      </c>
      <c r="G55" s="13">
        <f>IF(AND(F55&gt;=1,F55&lt;=6),E55-F55*50-16,IF(F55=0.01,E55-16,IF(F55=0,0,IF(F55&gt;6,E55-316,0))))</f>
        <v>0</v>
      </c>
    </row>
    <row r="56" spans="1:7" ht="16.5">
      <c r="A56" s="14" t="s">
        <v>364</v>
      </c>
      <c r="B56" s="4">
        <f>VLOOKUP(A56,联盟DKP榜单!A$1:C$598,3,FALSE)-40*COUNTIF(扣分!A:A,A56)</f>
        <v>0</v>
      </c>
      <c r="C56" s="24">
        <f>50*COUNTIF(帮战总榜!A$1:AB$150,$A56)+40*COUNTIF(掠夺!A$1:AB$150,$A56)</f>
        <v>0</v>
      </c>
      <c r="D56" s="24">
        <f>20*COUNTIF(YY统计!A$2:M$150,$A56)</f>
        <v>0</v>
      </c>
      <c r="E56" s="24">
        <f>SUM(B56:D56)</f>
        <v>0</v>
      </c>
      <c r="F56" s="24">
        <f>IF(AND(E56&gt;=16,E56&lt;66),0.01,ROUNDDOWN((E56-16)/50,0))</f>
        <v>0</v>
      </c>
      <c r="G56" s="13">
        <f>IF(AND(F56&gt;=1,F56&lt;=6),E56-F56*50-16,IF(F56=0.01,E56-16,IF(F56=0,0,IF(F56&gt;6,E56-316,0))))</f>
        <v>0</v>
      </c>
    </row>
    <row r="57" spans="1:7" ht="16.5">
      <c r="A57" s="14" t="s">
        <v>368</v>
      </c>
      <c r="B57" s="4">
        <f>VLOOKUP(A57,联盟DKP榜单!A$1:C$598,3,FALSE)-40*COUNTIF(扣分!A:A,A57)</f>
        <v>0</v>
      </c>
      <c r="C57" s="24">
        <f>50*COUNTIF(帮战总榜!A$1:AB$150,$A57)+40*COUNTIF(掠夺!A$1:AB$150,$A57)</f>
        <v>0</v>
      </c>
      <c r="D57" s="24">
        <f>20*COUNTIF(YY统计!A$2:M$150,$A57)</f>
        <v>0</v>
      </c>
      <c r="E57" s="24">
        <f>SUM(B57:D57)</f>
        <v>0</v>
      </c>
      <c r="F57" s="24">
        <f>IF(AND(E57&gt;=16,E57&lt;66),0.01,ROUNDDOWN((E57-16)/50,0))</f>
        <v>0</v>
      </c>
      <c r="G57" s="13">
        <f>IF(AND(F57&gt;=1,F57&lt;=6),E57-F57*50-16,IF(F57=0.01,E57-16,IF(F57=0,0,IF(F57&gt;6,E57-316,0))))</f>
        <v>0</v>
      </c>
    </row>
    <row r="58" spans="1:7" ht="16.5">
      <c r="A58" s="14" t="s">
        <v>348</v>
      </c>
      <c r="B58" s="4">
        <f>VLOOKUP(A58,联盟DKP榜单!A$1:C$598,3,FALSE)-40*COUNTIF(扣分!A:A,A58)</f>
        <v>0</v>
      </c>
      <c r="C58" s="24">
        <f>50*COUNTIF(帮战总榜!A$1:AB$150,$A58)+40*COUNTIF(掠夺!A$1:AB$150,$A58)</f>
        <v>0</v>
      </c>
      <c r="D58" s="24">
        <f>20*COUNTIF(YY统计!A$2:M$150,$A58)</f>
        <v>0</v>
      </c>
      <c r="E58" s="24">
        <f>SUM(B58:D58)</f>
        <v>0</v>
      </c>
      <c r="F58" s="24">
        <f>IF(AND(E58&gt;=16,E58&lt;66),0.01,ROUNDDOWN((E58-16)/50,0))</f>
        <v>0</v>
      </c>
      <c r="G58" s="13">
        <f>IF(AND(F58&gt;=1,F58&lt;=6),E58-F58*50-16,IF(F58=0.01,E58-16,IF(F58=0,0,IF(F58&gt;6,E58-316,0))))</f>
        <v>0</v>
      </c>
    </row>
    <row r="59" spans="1:7" ht="16.5">
      <c r="A59" s="14" t="s">
        <v>366</v>
      </c>
      <c r="B59" s="4">
        <f>VLOOKUP(A59,联盟DKP榜单!A$1:C$598,3,FALSE)-40*COUNTIF(扣分!A:A,A59)</f>
        <v>0</v>
      </c>
      <c r="C59" s="24">
        <f>50*COUNTIF(帮战总榜!A$1:AB$150,$A59)+40*COUNTIF(掠夺!A$1:AB$150,$A59)</f>
        <v>0</v>
      </c>
      <c r="D59" s="24">
        <f>20*COUNTIF(YY统计!A$2:M$150,$A59)</f>
        <v>0</v>
      </c>
      <c r="E59" s="24">
        <f>SUM(B59:D59)</f>
        <v>0</v>
      </c>
      <c r="F59" s="24">
        <f>IF(AND(E59&gt;=16,E59&lt;66),0.01,ROUNDDOWN((E59-16)/50,0))</f>
        <v>0</v>
      </c>
      <c r="G59" s="13">
        <f>IF(AND(F59&gt;=1,F59&lt;=6),E59-F59*50-16,IF(F59=0.01,E59-16,IF(F59=0,0,IF(F59&gt;6,E59-316,0))))</f>
        <v>0</v>
      </c>
    </row>
    <row r="60" spans="1:7" ht="16.5">
      <c r="A60" s="14" t="s">
        <v>379</v>
      </c>
      <c r="B60" s="4">
        <f>VLOOKUP(A60,联盟DKP榜单!A$1:C$598,3,FALSE)-40*COUNTIF(扣分!A:A,A60)</f>
        <v>0</v>
      </c>
      <c r="C60" s="24">
        <f>50*COUNTIF(帮战总榜!A$1:AB$150,$A60)+40*COUNTIF(掠夺!A$1:AB$150,$A60)</f>
        <v>0</v>
      </c>
      <c r="D60" s="24">
        <f>20*COUNTIF(YY统计!A$2:M$150,$A60)</f>
        <v>0</v>
      </c>
      <c r="E60" s="24">
        <f>SUM(B60:D60)</f>
        <v>0</v>
      </c>
      <c r="F60" s="24">
        <f>IF(AND(E60&gt;=16,E60&lt;66),0.01,ROUNDDOWN((E60-16)/50,0))</f>
        <v>0</v>
      </c>
      <c r="G60" s="13">
        <f>IF(AND(F60&gt;=1,F60&lt;=6),E60-F60*50-16,IF(F60=0.01,E60-16,IF(F60=0,0,IF(F60&gt;6,E60-316,0))))</f>
        <v>0</v>
      </c>
    </row>
    <row r="61" spans="1:7" ht="16.5">
      <c r="A61" s="14" t="s">
        <v>380</v>
      </c>
      <c r="B61" s="4">
        <f>VLOOKUP(A61,联盟DKP榜单!A$1:C$598,3,FALSE)-40*COUNTIF(扣分!A:A,A61)</f>
        <v>0</v>
      </c>
      <c r="C61" s="24">
        <f>50*COUNTIF(帮战总榜!A$1:AB$150,$A61)+40*COUNTIF(掠夺!A$1:AB$150,$A61)</f>
        <v>0</v>
      </c>
      <c r="D61" s="24">
        <f>20*COUNTIF(YY统计!A$2:M$150,$A61)</f>
        <v>0</v>
      </c>
      <c r="E61" s="24">
        <f>SUM(B61:D61)</f>
        <v>0</v>
      </c>
      <c r="F61" s="24">
        <f>IF(AND(E61&gt;=16,E61&lt;66),0.01,ROUNDDOWN((E61-16)/50,0))</f>
        <v>0</v>
      </c>
      <c r="G61" s="13">
        <f>IF(AND(F61&gt;=1,F61&lt;=6),E61-F61*50-16,IF(F61=0.01,E61-16,IF(F61=0,0,IF(F61&gt;6,E61-316,0))))</f>
        <v>0</v>
      </c>
    </row>
    <row r="62" spans="1:7" ht="16.5">
      <c r="A62" s="14" t="s">
        <v>370</v>
      </c>
      <c r="B62" s="4">
        <f>VLOOKUP(A62,联盟DKP榜单!A$1:C$598,3,FALSE)-40*COUNTIF(扣分!A:A,A62)</f>
        <v>0</v>
      </c>
      <c r="C62" s="24">
        <f>50*COUNTIF(帮战总榜!A$1:AB$150,$A62)+40*COUNTIF(掠夺!A$1:AB$150,$A62)</f>
        <v>0</v>
      </c>
      <c r="D62" s="24">
        <f>20*COUNTIF(YY统计!A$2:M$150,$A62)</f>
        <v>0</v>
      </c>
      <c r="E62" s="24">
        <f>SUM(B62:D62)</f>
        <v>0</v>
      </c>
      <c r="F62" s="24">
        <f>IF(AND(E62&gt;=16,E62&lt;66),0.01,ROUNDDOWN((E62-16)/50,0))</f>
        <v>0</v>
      </c>
      <c r="G62" s="13">
        <f>IF(AND(F62&gt;=1,F62&lt;=6),E62-F62*50-16,IF(F62=0.01,E62-16,IF(F62=0,0,IF(F62&gt;6,E62-316,0))))</f>
        <v>0</v>
      </c>
    </row>
    <row r="63" spans="1:7" ht="16.5">
      <c r="A63" s="14" t="s">
        <v>369</v>
      </c>
      <c r="B63" s="4">
        <f>VLOOKUP(A63,联盟DKP榜单!A$1:C$598,3,FALSE)-40*COUNTIF(扣分!A:A,A63)</f>
        <v>0</v>
      </c>
      <c r="C63" s="24">
        <f>50*COUNTIF(帮战总榜!A$1:AB$150,$A63)+40*COUNTIF(掠夺!A$1:AB$150,$A63)</f>
        <v>0</v>
      </c>
      <c r="D63" s="24">
        <f>20*COUNTIF(YY统计!A$2:M$150,$A63)</f>
        <v>0</v>
      </c>
      <c r="E63" s="24">
        <f>SUM(B63:D63)</f>
        <v>0</v>
      </c>
      <c r="F63" s="24">
        <f>IF(AND(E63&gt;=16,E63&lt;66),0.01,ROUNDDOWN((E63-16)/50,0))</f>
        <v>0</v>
      </c>
      <c r="G63" s="13">
        <f>IF(AND(F63&gt;=1,F63&lt;=6),E63-F63*50-16,IF(F63=0.01,E63-16,IF(F63=0,0,IF(F63&gt;6,E63-316,0))))</f>
        <v>0</v>
      </c>
    </row>
    <row r="64" spans="1:7" ht="16.5">
      <c r="A64" s="14" t="s">
        <v>577</v>
      </c>
      <c r="B64" s="4">
        <f>VLOOKUP(A64,联盟DKP榜单!A$1:C$598,3,FALSE)-40*COUNTIF(扣分!A:A,A64)</f>
        <v>0</v>
      </c>
      <c r="C64" s="24">
        <f>50*COUNTIF(帮战总榜!A$1:AB$150,$A64)+40*COUNTIF(掠夺!A$1:AB$150,$A64)</f>
        <v>0</v>
      </c>
      <c r="D64" s="24">
        <f>20*COUNTIF(YY统计!A$2:M$150,$A64)</f>
        <v>0</v>
      </c>
      <c r="E64" s="24">
        <f>SUM(B64:D64)</f>
        <v>0</v>
      </c>
      <c r="F64" s="24">
        <f>IF(AND(E64&gt;=16,E64&lt;66),0.01,ROUNDDOWN((E64-16)/50,0))</f>
        <v>0</v>
      </c>
      <c r="G64" s="13">
        <f>IF(AND(F64&gt;=1,F64&lt;=6),E64-F64*50-16,IF(F64=0.01,E64-16,IF(F64=0,0,IF(F64&gt;6,E64-316,0))))</f>
        <v>0</v>
      </c>
    </row>
    <row r="65" spans="1:7" ht="16.5">
      <c r="A65" s="14" t="s">
        <v>385</v>
      </c>
      <c r="B65" s="4">
        <f>VLOOKUP(A65,联盟DKP榜单!A$1:C$598,3,FALSE)-40*COUNTIF(扣分!A:A,A65)</f>
        <v>0</v>
      </c>
      <c r="C65" s="24">
        <f>50*COUNTIF(帮战总榜!A$1:AB$150,$A65)+40*COUNTIF(掠夺!A$1:AB$150,$A65)</f>
        <v>0</v>
      </c>
      <c r="D65" s="24">
        <f>20*COUNTIF(YY统计!A$2:M$150,$A65)</f>
        <v>0</v>
      </c>
      <c r="E65" s="24">
        <f>SUM(B65:D65)</f>
        <v>0</v>
      </c>
      <c r="F65" s="24">
        <f>IF(AND(E65&gt;=16,E65&lt;66),0.01,ROUNDDOWN((E65-16)/50,0))</f>
        <v>0</v>
      </c>
      <c r="G65" s="13">
        <f>IF(AND(F65&gt;=1,F65&lt;=6),E65-F65*50-16,IF(F65=0.01,E65-16,IF(F65=0,0,IF(F65&gt;6,E65-316,0))))</f>
        <v>0</v>
      </c>
    </row>
    <row r="66" spans="1:7" ht="16.5">
      <c r="A66" s="14" t="s">
        <v>579</v>
      </c>
      <c r="B66" s="4">
        <f>VLOOKUP(A66,联盟DKP榜单!A$1:C$598,3,FALSE)-40*COUNTIF(扣分!A:A,A66)</f>
        <v>0</v>
      </c>
      <c r="C66" s="24">
        <f>50*COUNTIF(帮战总榜!A$1:AB$150,$A66)+40*COUNTIF(掠夺!A$1:AB$150,$A66)</f>
        <v>0</v>
      </c>
      <c r="D66" s="24">
        <f>20*COUNTIF(YY统计!A$2:M$150,$A66)</f>
        <v>0</v>
      </c>
      <c r="E66" s="24">
        <f>SUM(B66:D66)</f>
        <v>0</v>
      </c>
      <c r="F66" s="24">
        <f>IF(AND(E66&gt;=16,E66&lt;66),0.01,ROUNDDOWN((E66-16)/50,0))</f>
        <v>0</v>
      </c>
      <c r="G66" s="13">
        <f>IF(AND(F66&gt;=1,F66&lt;=6),E66-F66*50-16,IF(F66=0.01,E66-16,IF(F66=0,0,IF(F66&gt;6,E66-316,0))))</f>
        <v>0</v>
      </c>
    </row>
    <row r="67" spans="1:7" ht="16.5">
      <c r="A67" s="14" t="s">
        <v>386</v>
      </c>
      <c r="B67" s="4">
        <f>VLOOKUP(A67,联盟DKP榜单!A$1:C$598,3,FALSE)-40*COUNTIF(扣分!A:A,A67)</f>
        <v>0</v>
      </c>
      <c r="C67" s="24">
        <f>50*COUNTIF(帮战总榜!A$1:AB$150,$A67)+40*COUNTIF(掠夺!A$1:AB$150,$A67)</f>
        <v>0</v>
      </c>
      <c r="D67" s="24">
        <f>20*COUNTIF(YY统计!A$2:M$150,$A67)</f>
        <v>0</v>
      </c>
      <c r="E67" s="24">
        <f>SUM(B67:D67)</f>
        <v>0</v>
      </c>
      <c r="F67" s="24">
        <f>IF(AND(E67&gt;=16,E67&lt;66),0.01,ROUNDDOWN((E67-16)/50,0))</f>
        <v>0</v>
      </c>
      <c r="G67" s="13">
        <f>IF(AND(F67&gt;=1,F67&lt;=6),E67-F67*50-16,IF(F67=0.01,E67-16,IF(F67=0,0,IF(F67&gt;6,E67-316,0))))</f>
        <v>0</v>
      </c>
    </row>
    <row r="68" spans="1:7" ht="16.5">
      <c r="A68" s="14" t="s">
        <v>387</v>
      </c>
      <c r="B68" s="4">
        <f>VLOOKUP(A68,联盟DKP榜单!A$1:C$598,3,FALSE)-40*COUNTIF(扣分!A:A,A68)</f>
        <v>0</v>
      </c>
      <c r="C68" s="24">
        <f>50*COUNTIF(帮战总榜!A$1:AB$150,$A68)+40*COUNTIF(掠夺!A$1:AB$150,$A68)</f>
        <v>0</v>
      </c>
      <c r="D68" s="24">
        <f>20*COUNTIF(YY统计!A$2:M$150,$A68)</f>
        <v>0</v>
      </c>
      <c r="E68" s="24">
        <f>SUM(B68:D68)</f>
        <v>0</v>
      </c>
      <c r="F68" s="24">
        <f>IF(AND(E68&gt;=16,E68&lt;66),0.01,ROUNDDOWN((E68-16)/50,0))</f>
        <v>0</v>
      </c>
      <c r="G68" s="13">
        <f>IF(AND(F68&gt;=1,F68&lt;=6),E68-F68*50-16,IF(F68=0.01,E68-16,IF(F68=0,0,IF(F68&gt;6,E68-316,0))))</f>
        <v>0</v>
      </c>
    </row>
    <row r="69" spans="1:7" ht="16.5">
      <c r="A69" s="14" t="s">
        <v>389</v>
      </c>
      <c r="B69" s="4">
        <f>VLOOKUP(A69,联盟DKP榜单!A$1:C$598,3,FALSE)-40*COUNTIF(扣分!A:A,A69)</f>
        <v>0</v>
      </c>
      <c r="C69" s="24">
        <f>50*COUNTIF(帮战总榜!A$1:AB$150,$A69)+40*COUNTIF(掠夺!A$1:AB$150,$A69)</f>
        <v>0</v>
      </c>
      <c r="D69" s="24">
        <f>20*COUNTIF(YY统计!A$2:M$150,$A69)</f>
        <v>0</v>
      </c>
      <c r="E69" s="24">
        <f>SUM(B69:D69)</f>
        <v>0</v>
      </c>
      <c r="F69" s="24">
        <f>IF(AND(E69&gt;=16,E69&lt;66),0.01,ROUNDDOWN((E69-16)/50,0))</f>
        <v>0</v>
      </c>
      <c r="G69" s="13">
        <f>IF(AND(F69&gt;=1,F69&lt;=6),E69-F69*50-16,IF(F69=0.01,E69-16,IF(F69=0,0,IF(F69&gt;6,E69-316,0))))</f>
        <v>0</v>
      </c>
    </row>
    <row r="70" spans="1:7" ht="16.5">
      <c r="A70" s="14" t="s">
        <v>390</v>
      </c>
      <c r="B70" s="4">
        <f>VLOOKUP(A70,联盟DKP榜单!A$1:C$598,3,FALSE)-40*COUNTIF(扣分!A:A,A70)</f>
        <v>0</v>
      </c>
      <c r="C70" s="24">
        <f>50*COUNTIF(帮战总榜!A$1:AB$150,$A70)+40*COUNTIF(掠夺!A$1:AB$150,$A70)</f>
        <v>0</v>
      </c>
      <c r="D70" s="24">
        <f>20*COUNTIF(YY统计!A$2:M$150,$A70)</f>
        <v>0</v>
      </c>
      <c r="E70" s="24">
        <f>SUM(B70:D70)</f>
        <v>0</v>
      </c>
      <c r="F70" s="24">
        <f>IF(AND(E70&gt;=16,E70&lt;66),0.01,ROUNDDOWN((E70-16)/50,0))</f>
        <v>0</v>
      </c>
      <c r="G70" s="13">
        <f>IF(AND(F70&gt;=1,F70&lt;=6),E70-F70*50-16,IF(F70=0.01,E70-16,IF(F70=0,0,IF(F70&gt;6,E70-316,0))))</f>
        <v>0</v>
      </c>
    </row>
    <row r="71" spans="1:7" ht="16.5">
      <c r="A71" s="14" t="s">
        <v>391</v>
      </c>
      <c r="B71" s="4">
        <f>VLOOKUP(A71,联盟DKP榜单!A$1:C$598,3,FALSE)-40*COUNTIF(扣分!A:A,A71)</f>
        <v>0</v>
      </c>
      <c r="C71" s="24">
        <f>50*COUNTIF(帮战总榜!A$1:AB$150,$A71)+40*COUNTIF(掠夺!A$1:AB$150,$A71)</f>
        <v>0</v>
      </c>
      <c r="D71" s="24">
        <f>20*COUNTIF(YY统计!A$2:M$150,$A71)</f>
        <v>0</v>
      </c>
      <c r="E71" s="24">
        <f>SUM(B71:D71)</f>
        <v>0</v>
      </c>
      <c r="F71" s="24">
        <f>IF(AND(E71&gt;=16,E71&lt;66),0.01,ROUNDDOWN((E71-16)/50,0))</f>
        <v>0</v>
      </c>
      <c r="G71" s="13">
        <f>IF(AND(F71&gt;=1,F71&lt;=6),E71-F71*50-16,IF(F71=0.01,E71-16,IF(F71=0,0,IF(F71&gt;6,E71-316,0))))</f>
        <v>0</v>
      </c>
    </row>
    <row r="72" spans="1:7" ht="16.5">
      <c r="A72" s="14" t="s">
        <v>392</v>
      </c>
      <c r="B72" s="4">
        <f>VLOOKUP(A72,联盟DKP榜单!A$1:C$598,3,FALSE)-40*COUNTIF(扣分!A:A,A72)</f>
        <v>0</v>
      </c>
      <c r="C72" s="24">
        <f>50*COUNTIF(帮战总榜!A$1:AB$150,$A72)+40*COUNTIF(掠夺!A$1:AB$150,$A72)</f>
        <v>0</v>
      </c>
      <c r="D72" s="24">
        <f>20*COUNTIF(YY统计!A$2:M$150,$A72)</f>
        <v>0</v>
      </c>
      <c r="E72" s="24">
        <f>SUM(B72:D72)</f>
        <v>0</v>
      </c>
      <c r="F72" s="24">
        <f>IF(AND(E72&gt;=16,E72&lt;66),0.01,ROUNDDOWN((E72-16)/50,0))</f>
        <v>0</v>
      </c>
      <c r="G72" s="13">
        <f>IF(AND(F72&gt;=1,F72&lt;=6),E72-F72*50-16,IF(F72=0.01,E72-16,IF(F72=0,0,IF(F72&gt;6,E72-316,0))))</f>
        <v>0</v>
      </c>
    </row>
    <row r="73" spans="1:7" ht="16.5">
      <c r="A73" s="14" t="s">
        <v>476</v>
      </c>
      <c r="B73" s="4">
        <f>VLOOKUP(A73,联盟DKP榜单!A$1:C$598,3,FALSE)-40*COUNTIF(扣分!A:A,A73)</f>
        <v>0</v>
      </c>
      <c r="C73" s="24">
        <f>50*COUNTIF(帮战总榜!A$1:AB$150,$A73)+40*COUNTIF(掠夺!A$1:AB$150,$A73)</f>
        <v>0</v>
      </c>
      <c r="D73" s="24">
        <f>20*COUNTIF(YY统计!A$2:M$150,$A73)</f>
        <v>0</v>
      </c>
      <c r="E73" s="24">
        <f>SUM(B73:D73)</f>
        <v>0</v>
      </c>
      <c r="F73" s="24">
        <f>IF(AND(E73&gt;=16,E73&lt;66),0.01,ROUNDDOWN((E73-16)/50,0))</f>
        <v>0</v>
      </c>
      <c r="G73" s="13">
        <f>IF(AND(F73&gt;=1,F73&lt;=6),E73-F73*50-16,IF(F73=0.01,E73-16,IF(F73=0,0,IF(F73&gt;6,E73-316,0))))</f>
        <v>0</v>
      </c>
    </row>
    <row r="74" spans="1:7" ht="16.5">
      <c r="A74" s="14" t="s">
        <v>475</v>
      </c>
      <c r="B74" s="4">
        <f>VLOOKUP(A74,联盟DKP榜单!A$1:C$598,3,FALSE)-40*COUNTIF(扣分!A:A,A74)</f>
        <v>0</v>
      </c>
      <c r="C74" s="24">
        <f>50*COUNTIF(帮战总榜!A$1:AB$150,$A74)+40*COUNTIF(掠夺!A$1:AB$150,$A74)</f>
        <v>0</v>
      </c>
      <c r="D74" s="24">
        <f>20*COUNTIF(YY统计!A$2:M$150,$A74)</f>
        <v>0</v>
      </c>
      <c r="E74" s="24">
        <f>SUM(B74:D74)</f>
        <v>0</v>
      </c>
      <c r="F74" s="24">
        <f>IF(AND(E74&gt;=16,E74&lt;66),0.01,ROUNDDOWN((E74-16)/50,0))</f>
        <v>0</v>
      </c>
      <c r="G74" s="13">
        <f>IF(AND(F74&gt;=1,F74&lt;=6),E74-F74*50-16,IF(F74=0.01,E74-16,IF(F74=0,0,IF(F74&gt;6,E74-316,0))))</f>
        <v>0</v>
      </c>
    </row>
    <row r="75" spans="1:7" ht="16.5">
      <c r="A75" s="14" t="s">
        <v>382</v>
      </c>
      <c r="B75" s="4">
        <f>VLOOKUP(A75,联盟DKP榜单!A$1:C$598,3,FALSE)-40*COUNTIF(扣分!A:A,A75)</f>
        <v>0</v>
      </c>
      <c r="C75" s="24">
        <f>50*COUNTIF(帮战总榜!A$1:AB$150,$A75)+40*COUNTIF(掠夺!A$1:AB$150,$A75)</f>
        <v>0</v>
      </c>
      <c r="D75" s="24">
        <f>20*COUNTIF(YY统计!A$2:M$150,$A75)</f>
        <v>0</v>
      </c>
      <c r="E75" s="24">
        <f>SUM(B75:D75)</f>
        <v>0</v>
      </c>
      <c r="F75" s="24">
        <f>IF(AND(E75&gt;=16,E75&lt;66),0.01,ROUNDDOWN((E75-16)/50,0))</f>
        <v>0</v>
      </c>
      <c r="G75" s="13">
        <f>IF(AND(F75&gt;=1,F75&lt;=6),E75-F75*50-16,IF(F75=0.01,E75-16,IF(F75=0,0,IF(F75&gt;6,E75-316,0))))</f>
        <v>0</v>
      </c>
    </row>
    <row r="76" spans="1:7" ht="16.5">
      <c r="A76" s="14" t="s">
        <v>474</v>
      </c>
      <c r="B76" s="4">
        <f>VLOOKUP(A76,联盟DKP榜单!A$1:C$598,3,FALSE)-40*COUNTIF(扣分!A:A,A76)</f>
        <v>0</v>
      </c>
      <c r="C76" s="24">
        <f>50*COUNTIF(帮战总榜!A$1:AB$150,$A76)+40*COUNTIF(掠夺!A$1:AB$150,$A76)</f>
        <v>0</v>
      </c>
      <c r="D76" s="24">
        <f>20*COUNTIF(YY统计!A$2:M$150,$A76)</f>
        <v>0</v>
      </c>
      <c r="E76" s="24">
        <f>SUM(B76:D76)</f>
        <v>0</v>
      </c>
      <c r="F76" s="24">
        <f>IF(AND(E76&gt;=16,E76&lt;66),0.01,ROUNDDOWN((E76-16)/50,0))</f>
        <v>0</v>
      </c>
      <c r="G76" s="13">
        <f>IF(AND(F76&gt;=1,F76&lt;=6),E76-F76*50-16,IF(F76=0.01,E76-16,IF(F76=0,0,IF(F76&gt;6,E76-316,0))))</f>
        <v>0</v>
      </c>
    </row>
    <row r="77" spans="1:7" ht="16.5">
      <c r="A77" s="14" t="s">
        <v>473</v>
      </c>
      <c r="B77" s="4">
        <f>VLOOKUP(A77,联盟DKP榜单!A$1:C$598,3,FALSE)-40*COUNTIF(扣分!A:A,A77)</f>
        <v>0</v>
      </c>
      <c r="C77" s="24">
        <f>50*COUNTIF(帮战总榜!A$1:AB$150,$A77)+40*COUNTIF(掠夺!A$1:AB$150,$A77)</f>
        <v>0</v>
      </c>
      <c r="D77" s="24">
        <f>20*COUNTIF(YY统计!A$2:M$150,$A77)</f>
        <v>0</v>
      </c>
      <c r="E77" s="24">
        <f>SUM(B77:D77)</f>
        <v>0</v>
      </c>
      <c r="F77" s="24">
        <f>IF(AND(E77&gt;=16,E77&lt;66),0.01,ROUNDDOWN((E77-16)/50,0))</f>
        <v>0</v>
      </c>
      <c r="G77" s="13">
        <f>IF(AND(F77&gt;=1,F77&lt;=6),E77-F77*50-16,IF(F77=0.01,E77-16,IF(F77=0,0,IF(F77&gt;6,E77-316,0))))</f>
        <v>0</v>
      </c>
    </row>
    <row r="78" spans="1:7" ht="16.5">
      <c r="A78" s="14" t="s">
        <v>472</v>
      </c>
      <c r="B78" s="4">
        <f>VLOOKUP(A78,联盟DKP榜单!A$1:C$598,3,FALSE)-40*COUNTIF(扣分!A:A,A78)</f>
        <v>0</v>
      </c>
      <c r="C78" s="24">
        <f>50*COUNTIF(帮战总榜!A$1:AB$150,$A78)+40*COUNTIF(掠夺!A$1:AB$150,$A78)</f>
        <v>0</v>
      </c>
      <c r="D78" s="24">
        <f>20*COUNTIF(YY统计!A$2:M$150,$A78)</f>
        <v>0</v>
      </c>
      <c r="E78" s="24">
        <f>SUM(B78:D78)</f>
        <v>0</v>
      </c>
      <c r="F78" s="24">
        <f>IF(AND(E78&gt;=16,E78&lt;66),0.01,ROUNDDOWN((E78-16)/50,0))</f>
        <v>0</v>
      </c>
      <c r="G78" s="13">
        <f>IF(AND(F78&gt;=1,F78&lt;=6),E78-F78*50-16,IF(F78=0.01,E78-16,IF(F78=0,0,IF(F78&gt;6,E78-316,0))))</f>
        <v>0</v>
      </c>
    </row>
    <row r="79" spans="1:7" ht="16.5">
      <c r="A79" s="14" t="s">
        <v>471</v>
      </c>
      <c r="B79" s="4">
        <f>VLOOKUP(A79,联盟DKP榜单!A$1:C$598,3,FALSE)-40*COUNTIF(扣分!A:A,A79)</f>
        <v>0</v>
      </c>
      <c r="C79" s="24">
        <f>50*COUNTIF(帮战总榜!A$1:AB$150,$A79)+40*COUNTIF(掠夺!A$1:AB$150,$A79)</f>
        <v>0</v>
      </c>
      <c r="D79" s="24">
        <f>20*COUNTIF(YY统计!A$2:M$150,$A79)</f>
        <v>0</v>
      </c>
      <c r="E79" s="24">
        <f>SUM(B79:D79)</f>
        <v>0</v>
      </c>
      <c r="F79" s="24">
        <f>IF(AND(E79&gt;=16,E79&lt;66),0.01,ROUNDDOWN((E79-16)/50,0))</f>
        <v>0</v>
      </c>
      <c r="G79" s="13">
        <f>IF(AND(F79&gt;=1,F79&lt;=6),E79-F79*50-16,IF(F79=0.01,E79-16,IF(F79=0,0,IF(F79&gt;6,E79-316,0))))</f>
        <v>0</v>
      </c>
    </row>
    <row r="80" spans="1:7" ht="16.5">
      <c r="A80" s="14" t="s">
        <v>588</v>
      </c>
      <c r="B80" s="4">
        <f>VLOOKUP(A80,联盟DKP榜单!A$1:C$598,3,FALSE)-40*COUNTIF(扣分!A:A,A80)</f>
        <v>0</v>
      </c>
      <c r="C80" s="24">
        <f>50*COUNTIF(帮战总榜!A$1:AB$150,$A80)+40*COUNTIF(掠夺!A$1:AB$150,$A80)</f>
        <v>0</v>
      </c>
      <c r="D80" s="24">
        <f>20*COUNTIF(YY统计!A$2:M$150,$A80)</f>
        <v>0</v>
      </c>
      <c r="E80" s="24">
        <f>SUM(B80:D80)</f>
        <v>0</v>
      </c>
      <c r="F80" s="24">
        <f>IF(AND(E80&gt;=16,E80&lt;66),0.01,ROUNDDOWN((E80-16)/50,0))</f>
        <v>0</v>
      </c>
      <c r="G80" s="13">
        <f>IF(AND(F80&gt;=1,F80&lt;=6),E80-F80*50-16,IF(F80=0.01,E80-16,IF(F80=0,0,IF(F80&gt;6,E80-316,0))))</f>
        <v>0</v>
      </c>
    </row>
    <row r="81" spans="1:7" ht="16.5">
      <c r="A81" s="14" t="s">
        <v>452</v>
      </c>
      <c r="B81" s="4">
        <f>VLOOKUP(A81,联盟DKP榜单!A$1:C$598,3,FALSE)-40*COUNTIF(扣分!A:A,A81)</f>
        <v>0</v>
      </c>
      <c r="C81" s="24">
        <f>50*COUNTIF(帮战总榜!A$1:AB$150,$A81)+40*COUNTIF(掠夺!A$1:AB$150,$A81)</f>
        <v>0</v>
      </c>
      <c r="D81" s="24">
        <f>20*COUNTIF(YY统计!A$2:M$150,$A81)</f>
        <v>0</v>
      </c>
      <c r="E81" s="24">
        <f>SUM(B81:D81)</f>
        <v>0</v>
      </c>
      <c r="F81" s="24">
        <f>IF(AND(E81&gt;=16,E81&lt;66),0.01,ROUNDDOWN((E81-16)/50,0))</f>
        <v>0</v>
      </c>
      <c r="G81" s="13">
        <f>IF(AND(F81&gt;=1,F81&lt;=6),E81-F81*50-16,IF(F81=0.01,E81-16,IF(F81=0,0,IF(F81&gt;6,E81-316,0))))</f>
        <v>0</v>
      </c>
    </row>
    <row r="82" spans="1:7" ht="16.5">
      <c r="A82" s="14" t="s">
        <v>470</v>
      </c>
      <c r="B82" s="4">
        <f>VLOOKUP(A82,联盟DKP榜单!A$1:C$598,3,FALSE)-40*COUNTIF(扣分!A:A,A82)</f>
        <v>0</v>
      </c>
      <c r="C82" s="24">
        <f>50*COUNTIF(帮战总榜!A$1:AB$150,$A82)+40*COUNTIF(掠夺!A$1:AB$150,$A82)</f>
        <v>0</v>
      </c>
      <c r="D82" s="24">
        <f>20*COUNTIF(YY统计!A$2:M$150,$A82)</f>
        <v>0</v>
      </c>
      <c r="E82" s="24">
        <f>SUM(B82:D82)</f>
        <v>0</v>
      </c>
      <c r="F82" s="24">
        <f>IF(AND(E82&gt;=16,E82&lt;66),0.01,ROUNDDOWN((E82-16)/50,0))</f>
        <v>0</v>
      </c>
      <c r="G82" s="13">
        <f>IF(AND(F82&gt;=1,F82&lt;=6),E82-F82*50-16,IF(F82=0.01,E82-16,IF(F82=0,0,IF(F82&gt;6,E82-316,0))))</f>
        <v>0</v>
      </c>
    </row>
    <row r="83" spans="1:7" ht="16.5">
      <c r="A83" s="14" t="s">
        <v>589</v>
      </c>
      <c r="B83" s="4">
        <f>VLOOKUP(A83,联盟DKP榜单!A$1:C$598,3,FALSE)-40*COUNTIF(扣分!A:A,A83)</f>
        <v>0</v>
      </c>
      <c r="C83" s="24">
        <f>50*COUNTIF(帮战总榜!A$1:AB$150,$A83)+40*COUNTIF(掠夺!A$1:AB$150,$A83)</f>
        <v>0</v>
      </c>
      <c r="D83" s="24">
        <f>20*COUNTIF(YY统计!A$2:M$150,$A83)</f>
        <v>0</v>
      </c>
      <c r="E83" s="24">
        <f>SUM(B83:D83)</f>
        <v>0</v>
      </c>
      <c r="F83" s="24">
        <f>IF(AND(E83&gt;=16,E83&lt;66),0.01,ROUNDDOWN((E83-16)/50,0))</f>
        <v>0</v>
      </c>
      <c r="G83" s="13">
        <f>IF(AND(F83&gt;=1,F83&lt;=6),E83-F83*50-16,IF(F83=0.01,E83-16,IF(F83=0,0,IF(F83&gt;6,E83-316,0))))</f>
        <v>0</v>
      </c>
    </row>
    <row r="84" spans="1:7" ht="16.5">
      <c r="A84" s="14" t="s">
        <v>460</v>
      </c>
      <c r="B84" s="4">
        <f>VLOOKUP(A84,联盟DKP榜单!A$1:C$598,3,FALSE)-40*COUNTIF(扣分!A:A,A84)</f>
        <v>0</v>
      </c>
      <c r="C84" s="24">
        <f>50*COUNTIF(帮战总榜!A$1:AB$150,$A84)+40*COUNTIF(掠夺!A$1:AB$150,$A84)</f>
        <v>0</v>
      </c>
      <c r="D84" s="24">
        <f>20*COUNTIF(YY统计!A$2:M$150,$A84)</f>
        <v>0</v>
      </c>
      <c r="E84" s="24">
        <f>SUM(B84:D84)</f>
        <v>0</v>
      </c>
      <c r="F84" s="24">
        <f>IF(AND(E84&gt;=16,E84&lt;66),0.01,ROUNDDOWN((E84-16)/50,0))</f>
        <v>0</v>
      </c>
      <c r="G84" s="13">
        <f>IF(AND(F84&gt;=1,F84&lt;=6),E84-F84*50-16,IF(F84=0.01,E84-16,IF(F84=0,0,IF(F84&gt;6,E84-316,0))))</f>
        <v>0</v>
      </c>
    </row>
    <row r="85" spans="1:7" ht="16.5">
      <c r="A85" s="14" t="s">
        <v>458</v>
      </c>
      <c r="B85" s="4">
        <f>VLOOKUP(A85,联盟DKP榜单!A$1:C$598,3,FALSE)-40*COUNTIF(扣分!A:A,A85)</f>
        <v>0</v>
      </c>
      <c r="C85" s="24">
        <f>50*COUNTIF(帮战总榜!A$1:AB$150,$A85)+40*COUNTIF(掠夺!A$1:AB$150,$A85)</f>
        <v>0</v>
      </c>
      <c r="D85" s="24">
        <f>20*COUNTIF(YY统计!A$2:M$150,$A85)</f>
        <v>0</v>
      </c>
      <c r="E85" s="24">
        <f>SUM(B85:D85)</f>
        <v>0</v>
      </c>
      <c r="F85" s="24">
        <f>IF(AND(E85&gt;=16,E85&lt;66),0.01,ROUNDDOWN((E85-16)/50,0))</f>
        <v>0</v>
      </c>
      <c r="G85" s="13">
        <f>IF(AND(F85&gt;=1,F85&lt;=6),E85-F85*50-16,IF(F85=0.01,E85-16,IF(F85=0,0,IF(F85&gt;6,E85-316,0))))</f>
        <v>0</v>
      </c>
    </row>
    <row r="86" spans="1:7" ht="16.5">
      <c r="A86" s="14" t="s">
        <v>457</v>
      </c>
      <c r="B86" s="4">
        <f>VLOOKUP(A86,联盟DKP榜单!A$1:C$598,3,FALSE)-40*COUNTIF(扣分!A:A,A86)</f>
        <v>0</v>
      </c>
      <c r="C86" s="24">
        <f>50*COUNTIF(帮战总榜!A$1:AB$150,$A86)+40*COUNTIF(掠夺!A$1:AB$150,$A86)</f>
        <v>0</v>
      </c>
      <c r="D86" s="24">
        <f>20*COUNTIF(YY统计!A$2:M$150,$A86)</f>
        <v>0</v>
      </c>
      <c r="E86" s="24">
        <f>SUM(B86:D86)</f>
        <v>0</v>
      </c>
      <c r="F86" s="24">
        <f>IF(AND(E86&gt;=16,E86&lt;66),0.01,ROUNDDOWN((E86-16)/50,0))</f>
        <v>0</v>
      </c>
      <c r="G86" s="13">
        <f>IF(AND(F86&gt;=1,F86&lt;=6),E86-F86*50-16,IF(F86=0.01,E86-16,IF(F86=0,0,IF(F86&gt;6,E86-316,0))))</f>
        <v>0</v>
      </c>
    </row>
    <row r="87" spans="1:7" ht="16.5">
      <c r="A87" s="14" t="s">
        <v>450</v>
      </c>
      <c r="B87" s="4">
        <f>VLOOKUP(A87,联盟DKP榜单!A$1:C$598,3,FALSE)-40*COUNTIF(扣分!A:A,A87)</f>
        <v>0</v>
      </c>
      <c r="C87" s="24">
        <f>50*COUNTIF(帮战总榜!A$1:AB$150,$A87)+40*COUNTIF(掠夺!A$1:AB$150,$A87)</f>
        <v>0</v>
      </c>
      <c r="D87" s="24">
        <f>20*COUNTIF(YY统计!A$2:M$150,$A87)</f>
        <v>0</v>
      </c>
      <c r="E87" s="24">
        <f>SUM(B87:D87)</f>
        <v>0</v>
      </c>
      <c r="F87" s="24">
        <f>IF(AND(E87&gt;=16,E87&lt;66),0.01,ROUNDDOWN((E87-16)/50,0))</f>
        <v>0</v>
      </c>
      <c r="G87" s="13">
        <f>IF(AND(F87&gt;=1,F87&lt;=6),E87-F87*50-16,IF(F87=0.01,E87-16,IF(F87=0,0,IF(F87&gt;6,E87-316,0))))</f>
        <v>0</v>
      </c>
    </row>
    <row r="88" spans="1:7" ht="16.5">
      <c r="A88" s="14" t="s">
        <v>454</v>
      </c>
      <c r="B88" s="4">
        <f>VLOOKUP(A88,联盟DKP榜单!A$1:C$598,3,FALSE)-40*COUNTIF(扣分!A:A,A88)</f>
        <v>0</v>
      </c>
      <c r="C88" s="24">
        <f>50*COUNTIF(帮战总榜!A$1:AB$150,$A88)+40*COUNTIF(掠夺!A$1:AB$150,$A88)</f>
        <v>0</v>
      </c>
      <c r="D88" s="24">
        <f>20*COUNTIF(YY统计!A$2:M$150,$A88)</f>
        <v>0</v>
      </c>
      <c r="E88" s="24">
        <f>SUM(B88:D88)</f>
        <v>0</v>
      </c>
      <c r="F88" s="24">
        <f>IF(AND(E88&gt;=16,E88&lt;66),0.01,ROUNDDOWN((E88-16)/50,0))</f>
        <v>0</v>
      </c>
      <c r="G88" s="13">
        <f>IF(AND(F88&gt;=1,F88&lt;=6),E88-F88*50-16,IF(F88=0.01,E88-16,IF(F88=0,0,IF(F88&gt;6,E88-316,0))))</f>
        <v>0</v>
      </c>
    </row>
    <row r="89" spans="1:7" ht="16.5">
      <c r="A89" s="14" t="s">
        <v>455</v>
      </c>
      <c r="B89" s="4">
        <f>VLOOKUP(A89,联盟DKP榜单!A$1:C$598,3,FALSE)-40*COUNTIF(扣分!A:A,A89)</f>
        <v>0</v>
      </c>
      <c r="C89" s="24">
        <f>50*COUNTIF(帮战总榜!A$1:AB$150,$A89)+40*COUNTIF(掠夺!A$1:AB$150,$A89)</f>
        <v>0</v>
      </c>
      <c r="D89" s="24">
        <f>20*COUNTIF(YY统计!A$2:M$150,$A89)</f>
        <v>0</v>
      </c>
      <c r="E89" s="24">
        <f>SUM(B89:D89)</f>
        <v>0</v>
      </c>
      <c r="F89" s="24">
        <f>IF(AND(E89&gt;=16,E89&lt;66),0.01,ROUNDDOWN((E89-16)/50,0))</f>
        <v>0</v>
      </c>
      <c r="G89" s="13">
        <f>IF(AND(F89&gt;=1,F89&lt;=6),E89-F89*50-16,IF(F89=0.01,E89-16,IF(F89=0,0,IF(F89&gt;6,E89-316,0))))</f>
        <v>0</v>
      </c>
    </row>
    <row r="90" spans="1:7" ht="16.5">
      <c r="A90" s="14" t="s">
        <v>456</v>
      </c>
      <c r="B90" s="4">
        <f>VLOOKUP(A90,联盟DKP榜单!A$1:C$598,3,FALSE)-40*COUNTIF(扣分!A:A,A90)</f>
        <v>0</v>
      </c>
      <c r="C90" s="24">
        <f>50*COUNTIF(帮战总榜!A$1:AB$150,$A90)+40*COUNTIF(掠夺!A$1:AB$150,$A90)</f>
        <v>0</v>
      </c>
      <c r="D90" s="24">
        <f>20*COUNTIF(YY统计!A$2:M$150,$A90)</f>
        <v>0</v>
      </c>
      <c r="E90" s="24">
        <f>SUM(B90:D90)</f>
        <v>0</v>
      </c>
      <c r="F90" s="24">
        <f>IF(AND(E90&gt;=16,E90&lt;66),0.01,ROUNDDOWN((E90-16)/50,0))</f>
        <v>0</v>
      </c>
      <c r="G90" s="13">
        <f>IF(AND(F90&gt;=1,F90&lt;=6),E90-F90*50-16,IF(F90=0.01,E90-16,IF(F90=0,0,IF(F90&gt;6,E90-316,0))))</f>
        <v>0</v>
      </c>
    </row>
    <row r="91" spans="1:7" ht="16.5">
      <c r="A91" s="14" t="s">
        <v>453</v>
      </c>
      <c r="B91" s="4">
        <f>VLOOKUP(A91,联盟DKP榜单!A$1:C$598,3,FALSE)-40*COUNTIF(扣分!A:A,A91)</f>
        <v>0</v>
      </c>
      <c r="C91" s="24">
        <f>50*COUNTIF(帮战总榜!A$1:AB$150,$A91)+40*COUNTIF(掠夺!A$1:AB$150,$A91)</f>
        <v>0</v>
      </c>
      <c r="D91" s="24">
        <f>20*COUNTIF(YY统计!A$2:M$150,$A91)</f>
        <v>0</v>
      </c>
      <c r="E91" s="24">
        <f>SUM(B91:D91)</f>
        <v>0</v>
      </c>
      <c r="F91" s="24">
        <f>IF(AND(E91&gt;=16,E91&lt;66),0.01,ROUNDDOWN((E91-16)/50,0))</f>
        <v>0</v>
      </c>
      <c r="G91" s="13">
        <f>IF(AND(F91&gt;=1,F91&lt;=6),E91-F91*50-16,IF(F91=0.01,E91-16,IF(F91=0,0,IF(F91&gt;6,E91-316,0))))</f>
        <v>0</v>
      </c>
    </row>
    <row r="92" spans="1:7" ht="16.5">
      <c r="A92" s="14" t="s">
        <v>469</v>
      </c>
      <c r="B92" s="4">
        <f>VLOOKUP(A92,联盟DKP榜单!A$1:C$598,3,FALSE)-40*COUNTIF(扣分!A:A,A92)</f>
        <v>0</v>
      </c>
      <c r="C92" s="24">
        <f>50*COUNTIF(帮战总榜!A$1:AB$150,$A92)+40*COUNTIF(掠夺!A$1:AB$150,$A92)</f>
        <v>0</v>
      </c>
      <c r="D92" s="24">
        <f>20*COUNTIF(YY统计!A$2:M$150,$A92)</f>
        <v>0</v>
      </c>
      <c r="E92" s="24">
        <f>SUM(B92:D92)</f>
        <v>0</v>
      </c>
      <c r="F92" s="24">
        <f>IF(AND(E92&gt;=16,E92&lt;66),0.01,ROUNDDOWN((E92-16)/50,0))</f>
        <v>0</v>
      </c>
      <c r="G92" s="13">
        <f>IF(AND(F92&gt;=1,F92&lt;=6),E92-F92*50-16,IF(F92=0.01,E92-16,IF(F92=0,0,IF(F92&gt;6,E92-316,0))))</f>
        <v>0</v>
      </c>
    </row>
    <row r="93" spans="1:7" ht="16.5">
      <c r="A93" s="14" t="s">
        <v>468</v>
      </c>
      <c r="B93" s="4">
        <f>VLOOKUP(A93,联盟DKP榜单!A$1:C$598,3,FALSE)-40*COUNTIF(扣分!A:A,A93)</f>
        <v>0</v>
      </c>
      <c r="C93" s="24">
        <f>50*COUNTIF(帮战总榜!A$1:AB$150,$A93)+40*COUNTIF(掠夺!A$1:AB$150,$A93)</f>
        <v>0</v>
      </c>
      <c r="D93" s="24">
        <f>20*COUNTIF(YY统计!A$2:M$150,$A93)</f>
        <v>0</v>
      </c>
      <c r="E93" s="24">
        <f>SUM(B93:D93)</f>
        <v>0</v>
      </c>
      <c r="F93" s="24">
        <f>IF(AND(E93&gt;=16,E93&lt;66),0.01,ROUNDDOWN((E93-16)/50,0))</f>
        <v>0</v>
      </c>
      <c r="G93" s="13">
        <f>IF(AND(F93&gt;=1,F93&lt;=6),E93-F93*50-16,IF(F93=0.01,E93-16,IF(F93=0,0,IF(F93&gt;6,E93-316,0))))</f>
        <v>0</v>
      </c>
    </row>
    <row r="94" spans="1:7" ht="16.5">
      <c r="A94" s="14" t="s">
        <v>448</v>
      </c>
      <c r="B94" s="4">
        <f>VLOOKUP(A94,联盟DKP榜单!A$1:C$598,3,FALSE)-40*COUNTIF(扣分!A:A,A94)</f>
        <v>0</v>
      </c>
      <c r="C94" s="24">
        <f>50*COUNTIF(帮战总榜!A$1:AB$150,$A94)+40*COUNTIF(掠夺!A$1:AB$150,$A94)</f>
        <v>0</v>
      </c>
      <c r="D94" s="24">
        <f>20*COUNTIF(YY统计!A$2:M$150,$A94)</f>
        <v>0</v>
      </c>
      <c r="E94" s="24">
        <f>SUM(B94:D94)</f>
        <v>0</v>
      </c>
      <c r="F94" s="24">
        <f>IF(AND(E94&gt;=16,E94&lt;66),0.01,ROUNDDOWN((E94-16)/50,0))</f>
        <v>0</v>
      </c>
      <c r="G94" s="13">
        <f>IF(AND(F94&gt;=1,F94&lt;=6),E94-F94*50-16,IF(F94=0.01,E94-16,IF(F94=0,0,IF(F94&gt;6,E94-316,0))))</f>
        <v>0</v>
      </c>
    </row>
    <row r="95" spans="1:7" ht="16.5">
      <c r="A95" s="14" t="s">
        <v>467</v>
      </c>
      <c r="B95" s="4">
        <f>VLOOKUP(A95,联盟DKP榜单!A$1:C$598,3,FALSE)-40*COUNTIF(扣分!A:A,A95)</f>
        <v>0</v>
      </c>
      <c r="C95" s="24">
        <f>50*COUNTIF(帮战总榜!A$1:AB$150,$A95)+40*COUNTIF(掠夺!A$1:AB$150,$A95)</f>
        <v>0</v>
      </c>
      <c r="D95" s="24">
        <f>20*COUNTIF(YY统计!A$2:M$150,$A95)</f>
        <v>0</v>
      </c>
      <c r="E95" s="24">
        <f>SUM(B95:D95)</f>
        <v>0</v>
      </c>
      <c r="F95" s="24">
        <f>IF(AND(E95&gt;=16,E95&lt;66),0.01,ROUNDDOWN((E95-16)/50,0))</f>
        <v>0</v>
      </c>
      <c r="G95" s="13">
        <f>IF(AND(F95&gt;=1,F95&lt;=6),E95-F95*50-16,IF(F95=0.01,E95-16,IF(F95=0,0,IF(F95&gt;6,E95-316,0))))</f>
        <v>0</v>
      </c>
    </row>
    <row r="96" spans="1:7" ht="16.5">
      <c r="A96" s="14" t="s">
        <v>465</v>
      </c>
      <c r="B96" s="4">
        <f>VLOOKUP(A96,联盟DKP榜单!A$1:C$598,3,FALSE)-40*COUNTIF(扣分!A:A,A96)</f>
        <v>0</v>
      </c>
      <c r="C96" s="24">
        <f>50*COUNTIF(帮战总榜!A$1:AB$150,$A96)+40*COUNTIF(掠夺!A$1:AB$150,$A96)</f>
        <v>0</v>
      </c>
      <c r="D96" s="24">
        <f>20*COUNTIF(YY统计!A$2:M$150,$A96)</f>
        <v>0</v>
      </c>
      <c r="E96" s="24">
        <f>SUM(B96:D96)</f>
        <v>0</v>
      </c>
      <c r="F96" s="24">
        <f>IF(AND(E96&gt;=16,E96&lt;66),0.01,ROUNDDOWN((E96-16)/50,0))</f>
        <v>0</v>
      </c>
      <c r="G96" s="13">
        <f>IF(AND(F96&gt;=1,F96&lt;=6),E96-F96*50-16,IF(F96=0.01,E96-16,IF(F96=0,0,IF(F96&gt;6,E96-316,0))))</f>
        <v>0</v>
      </c>
    </row>
    <row r="97" spans="1:7" ht="16.5">
      <c r="A97" s="14" t="s">
        <v>449</v>
      </c>
      <c r="B97" s="4">
        <f>VLOOKUP(A97,联盟DKP榜单!A$1:C$598,3,FALSE)-40*COUNTIF(扣分!A:A,A97)</f>
        <v>0</v>
      </c>
      <c r="C97" s="24">
        <f>50*COUNTIF(帮战总榜!A$1:AB$150,$A97)+40*COUNTIF(掠夺!A$1:AB$150,$A97)</f>
        <v>0</v>
      </c>
      <c r="D97" s="24">
        <f>20*COUNTIF(YY统计!A$2:M$150,$A97)</f>
        <v>0</v>
      </c>
      <c r="E97" s="24">
        <f>SUM(B97:D97)</f>
        <v>0</v>
      </c>
      <c r="F97" s="24">
        <f>IF(AND(E97&gt;=16,E97&lt;66),0.01,ROUNDDOWN((E97-16)/50,0))</f>
        <v>0</v>
      </c>
      <c r="G97" s="13">
        <f>IF(AND(F97&gt;=1,F97&lt;=6),E97-F97*50-16,IF(F97=0.01,E97-16,IF(F97=0,0,IF(F97&gt;6,E97-316,0))))</f>
        <v>0</v>
      </c>
    </row>
    <row r="98" spans="1:7" ht="16.5">
      <c r="A98" s="14" t="s">
        <v>590</v>
      </c>
      <c r="B98" s="4">
        <f>VLOOKUP(A98,联盟DKP榜单!A$1:C$598,3,FALSE)-40*COUNTIF(扣分!A:A,A98)</f>
        <v>0</v>
      </c>
      <c r="C98" s="24">
        <f>50*COUNTIF(帮战总榜!A$1:AB$150,$A98)+40*COUNTIF(掠夺!A$1:AB$150,$A98)</f>
        <v>0</v>
      </c>
      <c r="D98" s="24">
        <f>20*COUNTIF(YY统计!A$2:M$150,$A98)</f>
        <v>0</v>
      </c>
      <c r="E98" s="24">
        <f>SUM(B98:D98)</f>
        <v>0</v>
      </c>
      <c r="F98" s="24">
        <f>IF(AND(E98&gt;=16,E98&lt;66),0.01,ROUNDDOWN((E98-16)/50,0))</f>
        <v>0</v>
      </c>
      <c r="G98" s="13">
        <f>IF(AND(F98&gt;=1,F98&lt;=6),E98-F98*50-16,IF(F98=0.01,E98-16,IF(F98=0,0,IF(F98&gt;6,E98-316,0))))</f>
        <v>0</v>
      </c>
    </row>
    <row r="99" spans="1:7" ht="16.5">
      <c r="A99" s="14" t="s">
        <v>464</v>
      </c>
      <c r="B99" s="4">
        <f>VLOOKUP(A99,联盟DKP榜单!A$1:C$598,3,FALSE)-40*COUNTIF(扣分!A:A,A99)</f>
        <v>0</v>
      </c>
      <c r="C99" s="24">
        <f>50*COUNTIF(帮战总榜!A$1:AB$150,$A99)+40*COUNTIF(掠夺!A$1:AB$150,$A99)</f>
        <v>0</v>
      </c>
      <c r="D99" s="24">
        <f>20*COUNTIF(YY统计!A$2:M$150,$A99)</f>
        <v>0</v>
      </c>
      <c r="E99" s="24">
        <f>SUM(B99:D99)</f>
        <v>0</v>
      </c>
      <c r="F99" s="24">
        <f>IF(AND(E99&gt;=16,E99&lt;66),0.01,ROUNDDOWN((E99-16)/50,0))</f>
        <v>0</v>
      </c>
      <c r="G99" s="13">
        <f>IF(AND(F99&gt;=1,F99&lt;=6),E99-F99*50-16,IF(F99=0.01,E99-16,IF(F99=0,0,IF(F99&gt;6,E99-316,0))))</f>
        <v>0</v>
      </c>
    </row>
    <row r="100" spans="1:7" ht="16.5">
      <c r="A100" s="14" t="s">
        <v>592</v>
      </c>
      <c r="B100" s="4">
        <f>VLOOKUP(A100,联盟DKP榜单!A$1:C$598,3,FALSE)-40*COUNTIF(扣分!A:A,A100)</f>
        <v>0</v>
      </c>
      <c r="C100" s="24">
        <f>50*COUNTIF(帮战总榜!A$1:AB$150,$A100)+40*COUNTIF(掠夺!A$1:AB$150,$A100)</f>
        <v>0</v>
      </c>
      <c r="D100" s="24">
        <f>20*COUNTIF(YY统计!A$2:M$150,$A100)</f>
        <v>0</v>
      </c>
      <c r="E100" s="24">
        <f>SUM(B100:D100)</f>
        <v>0</v>
      </c>
      <c r="F100" s="24">
        <f>IF(AND(E100&gt;=16,E100&lt;66),0.01,ROUNDDOWN((E100-16)/50,0))</f>
        <v>0</v>
      </c>
      <c r="G100" s="13">
        <f>IF(AND(F100&gt;=1,F100&lt;=6),E100-F100*50-16,IF(F100=0.01,E100-16,IF(F100=0,0,IF(F100&gt;6,E100-316,0))))</f>
        <v>0</v>
      </c>
    </row>
    <row r="101" spans="1:7" ht="16.5">
      <c r="A101" s="14" t="s">
        <v>463</v>
      </c>
      <c r="B101" s="4">
        <f>VLOOKUP(A101,联盟DKP榜单!A$1:C$598,3,FALSE)-40*COUNTIF(扣分!A:A,A101)</f>
        <v>0</v>
      </c>
      <c r="C101" s="24">
        <f>50*COUNTIF(帮战总榜!A$1:AB$150,$A101)+40*COUNTIF(掠夺!A$1:AB$150,$A101)</f>
        <v>0</v>
      </c>
      <c r="D101" s="24">
        <f>20*COUNTIF(YY统计!A$2:M$150,$A101)</f>
        <v>0</v>
      </c>
      <c r="E101" s="24">
        <f>SUM(B101:D101)</f>
        <v>0</v>
      </c>
      <c r="F101" s="24">
        <f>IF(AND(E101&gt;=16,E101&lt;66),0.01,ROUNDDOWN((E101-16)/50,0))</f>
        <v>0</v>
      </c>
      <c r="G101" s="13">
        <f>IF(AND(F101&gt;=1,F101&lt;=6),E101-F101*50-16,IF(F101=0.01,E101-16,IF(F101=0,0,IF(F101&gt;6,E101-316,0))))</f>
        <v>0</v>
      </c>
    </row>
    <row r="102" spans="1:7" ht="16.5">
      <c r="A102" s="14" t="s">
        <v>462</v>
      </c>
      <c r="B102" s="4">
        <f>VLOOKUP(A102,联盟DKP榜单!A$1:C$598,3,FALSE)-40*COUNTIF(扣分!A:A,A102)</f>
        <v>0</v>
      </c>
      <c r="C102" s="24">
        <f>50*COUNTIF(帮战总榜!A$1:AB$150,$A102)+40*COUNTIF(掠夺!A$1:AB$150,$A102)</f>
        <v>0</v>
      </c>
      <c r="D102" s="24">
        <f>20*COUNTIF(YY统计!A$2:M$150,$A102)</f>
        <v>0</v>
      </c>
      <c r="E102" s="24">
        <f>SUM(B102:D102)</f>
        <v>0</v>
      </c>
      <c r="F102" s="24">
        <f>IF(AND(E102&gt;=16,E102&lt;66),0.01,ROUNDDOWN((E102-16)/50,0))</f>
        <v>0</v>
      </c>
      <c r="G102" s="13">
        <f>IF(AND(F102&gt;=1,F102&lt;=6),E102-F102*50-16,IF(F102=0.01,E102-16,IF(F102=0,0,IF(F102&gt;6,E102-316,0))))</f>
        <v>0</v>
      </c>
    </row>
    <row r="103" spans="1:7" ht="16.5">
      <c r="A103" s="14" t="s">
        <v>527</v>
      </c>
      <c r="B103" s="4">
        <f>VLOOKUP(A103,联盟DKP榜单!A$1:C$598,3,FALSE)-40*COUNTIF(扣分!A:A,A103)</f>
        <v>0</v>
      </c>
      <c r="C103" s="24">
        <f>50*COUNTIF(帮战总榜!A$1:AB$150,$A103)+40*COUNTIF(掠夺!A$1:AB$150,$A103)</f>
        <v>0</v>
      </c>
      <c r="D103" s="24">
        <f>20*COUNTIF(YY统计!A$2:M$150,$A103)</f>
        <v>0</v>
      </c>
      <c r="E103" s="24">
        <f>SUM(B103:D103)</f>
        <v>0</v>
      </c>
      <c r="F103" s="24">
        <f>IF(AND(E103&gt;=16,E103&lt;66),0.01,ROUNDDOWN((E103-16)/50,0))</f>
        <v>0</v>
      </c>
      <c r="G103" s="13">
        <f>IF(AND(F103&gt;=1,F103&lt;=6),E103-F103*50-16,IF(F103=0.01,E103-16,IF(F103=0,0,IF(F103&gt;6,E103-316,0))))</f>
        <v>0</v>
      </c>
    </row>
    <row r="104" spans="1:7" ht="16.5">
      <c r="A104" s="14" t="s">
        <v>461</v>
      </c>
      <c r="B104" s="4">
        <f>VLOOKUP(A104,联盟DKP榜单!A$1:C$598,3,FALSE)-40*COUNTIF(扣分!A:A,A104)</f>
        <v>0</v>
      </c>
      <c r="C104" s="24">
        <f>50*COUNTIF(帮战总榜!A$1:AB$150,$A104)+40*COUNTIF(掠夺!A$1:AB$150,$A104)</f>
        <v>0</v>
      </c>
      <c r="D104" s="24">
        <f>20*COUNTIF(YY统计!A$2:M$150,$A104)</f>
        <v>0</v>
      </c>
      <c r="E104" s="24">
        <f>SUM(B104:D104)</f>
        <v>0</v>
      </c>
      <c r="F104" s="24">
        <f>IF(AND(E104&gt;=16,E104&lt;66),0.01,ROUNDDOWN((E104-16)/50,0))</f>
        <v>0</v>
      </c>
      <c r="G104" s="13">
        <f>IF(AND(F104&gt;=1,F104&lt;=6),E104-F104*50-16,IF(F104=0.01,E104-16,IF(F104=0,0,IF(F104&gt;6,E104-316,0))))</f>
        <v>0</v>
      </c>
    </row>
    <row r="105" spans="1:7" ht="16.5">
      <c r="A105" s="14" t="s">
        <v>393</v>
      </c>
      <c r="B105" s="4">
        <f>VLOOKUP(A105,联盟DKP榜单!A$1:C$598,3,FALSE)-40*COUNTIF(扣分!A:A,A105)</f>
        <v>0</v>
      </c>
      <c r="C105" s="24">
        <f>50*COUNTIF(帮战总榜!A$1:AB$150,$A105)+40*COUNTIF(掠夺!A$1:AB$150,$A105)</f>
        <v>0</v>
      </c>
      <c r="D105" s="24">
        <f>20*COUNTIF(YY统计!A$2:M$150,$A105)</f>
        <v>0</v>
      </c>
      <c r="E105" s="24">
        <f>SUM(B105:D105)</f>
        <v>0</v>
      </c>
      <c r="F105" s="24">
        <f>IF(AND(E105&gt;=16,E105&lt;66),0.01,ROUNDDOWN((E105-16)/50,0))</f>
        <v>0</v>
      </c>
      <c r="G105" s="13">
        <f>IF(AND(F105&gt;=1,F105&lt;=6),E105-F105*50-16,IF(F105=0.01,E105-16,IF(F105=0,0,IF(F105&gt;6,E105-316,0))))</f>
        <v>0</v>
      </c>
    </row>
    <row r="106" spans="1:7" ht="16.5">
      <c r="A106" s="14" t="s">
        <v>394</v>
      </c>
      <c r="B106" s="4">
        <f>VLOOKUP(A106,联盟DKP榜单!A$1:C$598,3,FALSE)-40*COUNTIF(扣分!A:A,A106)</f>
        <v>0</v>
      </c>
      <c r="C106" s="24">
        <f>50*COUNTIF(帮战总榜!A$1:AB$150,$A106)+40*COUNTIF(掠夺!A$1:AB$150,$A106)</f>
        <v>0</v>
      </c>
      <c r="D106" s="24">
        <f>20*COUNTIF(YY统计!A$2:M$150,$A106)</f>
        <v>0</v>
      </c>
      <c r="E106" s="24">
        <f>SUM(B106:D106)</f>
        <v>0</v>
      </c>
      <c r="F106" s="24">
        <f>IF(AND(E106&gt;=16,E106&lt;66),0.01,ROUNDDOWN((E106-16)/50,0))</f>
        <v>0</v>
      </c>
      <c r="G106" s="13">
        <f>IF(AND(F106&gt;=1,F106&lt;=6),E106-F106*50-16,IF(F106=0.01,E106-16,IF(F106=0,0,IF(F106&gt;6,E106-316,0))))</f>
        <v>0</v>
      </c>
    </row>
    <row r="107" spans="1:7" ht="16.5">
      <c r="A107" s="14" t="s">
        <v>395</v>
      </c>
      <c r="B107" s="4">
        <f>VLOOKUP(A107,联盟DKP榜单!A$1:C$598,3,FALSE)-40*COUNTIF(扣分!A:A,A107)</f>
        <v>0</v>
      </c>
      <c r="C107" s="24">
        <f>50*COUNTIF(帮战总榜!A$1:AB$150,$A107)+40*COUNTIF(掠夺!A$1:AB$150,$A107)</f>
        <v>0</v>
      </c>
      <c r="D107" s="24">
        <f>20*COUNTIF(YY统计!A$2:M$150,$A107)</f>
        <v>0</v>
      </c>
      <c r="E107" s="24">
        <f>SUM(B107:D107)</f>
        <v>0</v>
      </c>
      <c r="F107" s="24">
        <f>IF(AND(E107&gt;=16,E107&lt;66),0.01,ROUNDDOWN((E107-16)/50,0))</f>
        <v>0</v>
      </c>
      <c r="G107" s="13">
        <f>IF(AND(F107&gt;=1,F107&lt;=6),E107-F107*50-16,IF(F107=0.01,E107-16,IF(F107=0,0,IF(F107&gt;6,E107-316,0))))</f>
        <v>0</v>
      </c>
    </row>
    <row r="108" spans="1:7" ht="16.5">
      <c r="A108" s="14" t="s">
        <v>594</v>
      </c>
      <c r="B108" s="4">
        <f>VLOOKUP(A108,联盟DKP榜单!A$1:C$598,3,FALSE)-40*COUNTIF(扣分!A:A,A108)</f>
        <v>0</v>
      </c>
      <c r="C108" s="24">
        <f>50*COUNTIF(帮战总榜!A$1:AB$150,$A108)+40*COUNTIF(掠夺!A$1:AB$150,$A108)</f>
        <v>0</v>
      </c>
      <c r="D108" s="24">
        <f>20*COUNTIF(YY统计!A$2:M$150,$A108)</f>
        <v>0</v>
      </c>
      <c r="E108" s="24">
        <f>SUM(B108:D108)</f>
        <v>0</v>
      </c>
      <c r="F108" s="24">
        <f>IF(AND(E108&gt;=16,E108&lt;66),0.01,ROUNDDOWN((E108-16)/50,0))</f>
        <v>0</v>
      </c>
      <c r="G108" s="13">
        <f>IF(AND(F108&gt;=1,F108&lt;=6),E108-F108*50-16,IF(F108=0.01,E108-16,IF(F108=0,0,IF(F108&gt;6,E108-316,0))))</f>
        <v>0</v>
      </c>
    </row>
    <row r="109" spans="1:7" ht="16.5">
      <c r="A109" s="14" t="s">
        <v>396</v>
      </c>
      <c r="B109" s="4">
        <f>VLOOKUP(A109,联盟DKP榜单!A$1:C$598,3,FALSE)-40*COUNTIF(扣分!A:A,A109)</f>
        <v>0</v>
      </c>
      <c r="C109" s="24">
        <f>50*COUNTIF(帮战总榜!A$1:AB$150,$A109)+40*COUNTIF(掠夺!A$1:AB$150,$A109)</f>
        <v>0</v>
      </c>
      <c r="D109" s="24">
        <f>20*COUNTIF(YY统计!A$2:M$150,$A109)</f>
        <v>0</v>
      </c>
      <c r="E109" s="24">
        <f>SUM(B109:D109)</f>
        <v>0</v>
      </c>
      <c r="F109" s="24">
        <f>IF(AND(E109&gt;=16,E109&lt;66),0.01,ROUNDDOWN((E109-16)/50,0))</f>
        <v>0</v>
      </c>
      <c r="G109" s="13">
        <f>IF(AND(F109&gt;=1,F109&lt;=6),E109-F109*50-16,IF(F109=0.01,E109-16,IF(F109=0,0,IF(F109&gt;6,E109-316,0))))</f>
        <v>0</v>
      </c>
    </row>
    <row r="110" spans="1:7" ht="16.5">
      <c r="A110" s="14" t="s">
        <v>397</v>
      </c>
      <c r="B110" s="4">
        <f>VLOOKUP(A110,联盟DKP榜单!A$1:C$598,3,FALSE)-40*COUNTIF(扣分!A:A,A110)</f>
        <v>0</v>
      </c>
      <c r="C110" s="24">
        <f>50*COUNTIF(帮战总榜!A$1:AB$150,$A110)+40*COUNTIF(掠夺!A$1:AB$150,$A110)</f>
        <v>0</v>
      </c>
      <c r="D110" s="24">
        <f>20*COUNTIF(YY统计!A$2:M$150,$A110)</f>
        <v>0</v>
      </c>
      <c r="E110" s="24">
        <f>SUM(B110:D110)</f>
        <v>0</v>
      </c>
      <c r="F110" s="24">
        <f>IF(AND(E110&gt;=16,E110&lt;66),0.01,ROUNDDOWN((E110-16)/50,0))</f>
        <v>0</v>
      </c>
      <c r="G110" s="13">
        <f>IF(AND(F110&gt;=1,F110&lt;=6),E110-F110*50-16,IF(F110=0.01,E110-16,IF(F110=0,0,IF(F110&gt;6,E110-316,0))))</f>
        <v>0</v>
      </c>
    </row>
    <row r="111" spans="1:7" ht="16.5">
      <c r="A111" s="14" t="s">
        <v>398</v>
      </c>
      <c r="B111" s="4">
        <f>VLOOKUP(A111,联盟DKP榜单!A$1:C$598,3,FALSE)-40*COUNTIF(扣分!A:A,A111)</f>
        <v>0</v>
      </c>
      <c r="C111" s="24">
        <f>50*COUNTIF(帮战总榜!A$1:AB$150,$A111)+40*COUNTIF(掠夺!A$1:AB$150,$A111)</f>
        <v>0</v>
      </c>
      <c r="D111" s="24">
        <f>20*COUNTIF(YY统计!A$2:M$150,$A111)</f>
        <v>0</v>
      </c>
      <c r="E111" s="24">
        <f>SUM(B111:D111)</f>
        <v>0</v>
      </c>
      <c r="F111" s="24">
        <f>IF(AND(E111&gt;=16,E111&lt;66),0.01,ROUNDDOWN((E111-16)/50,0))</f>
        <v>0</v>
      </c>
      <c r="G111" s="13">
        <f>IF(AND(F111&gt;=1,F111&lt;=6),E111-F111*50-16,IF(F111=0.01,E111-16,IF(F111=0,0,IF(F111&gt;6,E111-316,0))))</f>
        <v>0</v>
      </c>
    </row>
    <row r="112" spans="1:7" ht="16.5">
      <c r="A112" s="14" t="s">
        <v>399</v>
      </c>
      <c r="B112" s="4">
        <f>VLOOKUP(A112,联盟DKP榜单!A$1:C$598,3,FALSE)-40*COUNTIF(扣分!A:A,A112)</f>
        <v>0</v>
      </c>
      <c r="C112" s="24">
        <f>50*COUNTIF(帮战总榜!A$1:AB$150,$A112)+40*COUNTIF(掠夺!A$1:AB$150,$A112)</f>
        <v>0</v>
      </c>
      <c r="D112" s="24">
        <f>20*COUNTIF(YY统计!A$2:M$150,$A112)</f>
        <v>0</v>
      </c>
      <c r="E112" s="24">
        <f>SUM(B112:D112)</f>
        <v>0</v>
      </c>
      <c r="F112" s="24">
        <f>IF(AND(E112&gt;=16,E112&lt;66),0.01,ROUNDDOWN((E112-16)/50,0))</f>
        <v>0</v>
      </c>
      <c r="G112" s="13">
        <f>IF(AND(F112&gt;=1,F112&lt;=6),E112-F112*50-16,IF(F112=0.01,E112-16,IF(F112=0,0,IF(F112&gt;6,E112-316,0))))</f>
        <v>0</v>
      </c>
    </row>
    <row r="113" spans="1:7" ht="16.5">
      <c r="A113" s="14" t="s">
        <v>400</v>
      </c>
      <c r="B113" s="4">
        <f>VLOOKUP(A113,联盟DKP榜单!A$1:C$598,3,FALSE)-40*COUNTIF(扣分!A:A,A113)</f>
        <v>0</v>
      </c>
      <c r="C113" s="24">
        <f>50*COUNTIF(帮战总榜!A$1:AB$150,$A113)+40*COUNTIF(掠夺!A$1:AB$150,$A113)</f>
        <v>0</v>
      </c>
      <c r="D113" s="24">
        <f>20*COUNTIF(YY统计!A$2:M$150,$A113)</f>
        <v>0</v>
      </c>
      <c r="E113" s="24">
        <f>SUM(B113:D113)</f>
        <v>0</v>
      </c>
      <c r="F113" s="24">
        <f>IF(AND(E113&gt;=16,E113&lt;66),0.01,ROUNDDOWN((E113-16)/50,0))</f>
        <v>0</v>
      </c>
      <c r="G113" s="13">
        <f>IF(AND(F113&gt;=1,F113&lt;=6),E113-F113*50-16,IF(F113=0.01,E113-16,IF(F113=0,0,IF(F113&gt;6,E113-316,0))))</f>
        <v>0</v>
      </c>
    </row>
    <row r="114" spans="1:7" ht="16.5">
      <c r="A114" s="14" t="s">
        <v>401</v>
      </c>
      <c r="B114" s="4">
        <f>VLOOKUP(A114,联盟DKP榜单!A$1:C$598,3,FALSE)-40*COUNTIF(扣分!A:A,A114)</f>
        <v>0</v>
      </c>
      <c r="C114" s="24">
        <f>50*COUNTIF(帮战总榜!A$1:AB$150,$A114)+40*COUNTIF(掠夺!A$1:AB$150,$A114)</f>
        <v>0</v>
      </c>
      <c r="D114" s="24">
        <f>20*COUNTIF(YY统计!A$2:M$150,$A114)</f>
        <v>0</v>
      </c>
      <c r="E114" s="24">
        <f>SUM(B114:D114)</f>
        <v>0</v>
      </c>
      <c r="F114" s="24">
        <f>IF(AND(E114&gt;=16,E114&lt;66),0.01,ROUNDDOWN((E114-16)/50,0))</f>
        <v>0</v>
      </c>
      <c r="G114" s="13">
        <f>IF(AND(F114&gt;=1,F114&lt;=6),E114-F114*50-16,IF(F114=0.01,E114-16,IF(F114=0,0,IF(F114&gt;6,E114-316,0))))</f>
        <v>0</v>
      </c>
    </row>
    <row r="115" spans="1:7" ht="16.5">
      <c r="A115" s="14" t="s">
        <v>402</v>
      </c>
      <c r="B115" s="4">
        <f>VLOOKUP(A115,联盟DKP榜单!A$1:C$598,3,FALSE)-40*COUNTIF(扣分!A:A,A115)</f>
        <v>0</v>
      </c>
      <c r="C115" s="24">
        <f>50*COUNTIF(帮战总榜!A$1:AB$150,$A115)+40*COUNTIF(掠夺!A$1:AB$150,$A115)</f>
        <v>0</v>
      </c>
      <c r="D115" s="24">
        <f>20*COUNTIF(YY统计!A$2:M$150,$A115)</f>
        <v>0</v>
      </c>
      <c r="E115" s="24">
        <f>SUM(B115:D115)</f>
        <v>0</v>
      </c>
      <c r="F115" s="24">
        <f>IF(AND(E115&gt;=16,E115&lt;66),0.01,ROUNDDOWN((E115-16)/50,0))</f>
        <v>0</v>
      </c>
      <c r="G115" s="13">
        <f>IF(AND(F115&gt;=1,F115&lt;=6),E115-F115*50-16,IF(F115=0.01,E115-16,IF(F115=0,0,IF(F115&gt;6,E115-316,0))))</f>
        <v>0</v>
      </c>
    </row>
    <row r="116" spans="1:7" ht="16.5">
      <c r="A116" s="14" t="s">
        <v>403</v>
      </c>
      <c r="B116" s="4">
        <f>VLOOKUP(A116,联盟DKP榜单!A$1:C$598,3,FALSE)-40*COUNTIF(扣分!A:A,A116)</f>
        <v>0</v>
      </c>
      <c r="C116" s="24">
        <f>50*COUNTIF(帮战总榜!A$1:AB$150,$A116)+40*COUNTIF(掠夺!A$1:AB$150,$A116)</f>
        <v>0</v>
      </c>
      <c r="D116" s="24">
        <f>20*COUNTIF(YY统计!A$2:M$150,$A116)</f>
        <v>0</v>
      </c>
      <c r="E116" s="24">
        <f>SUM(B116:D116)</f>
        <v>0</v>
      </c>
      <c r="F116" s="24">
        <f>IF(AND(E116&gt;=16,E116&lt;66),0.01,ROUNDDOWN((E116-16)/50,0))</f>
        <v>0</v>
      </c>
      <c r="G116" s="13">
        <f>IF(AND(F116&gt;=1,F116&lt;=6),E116-F116*50-16,IF(F116=0.01,E116-16,IF(F116=0,0,IF(F116&gt;6,E116-316,0))))</f>
        <v>0</v>
      </c>
    </row>
    <row r="117" spans="1:7" ht="16.5">
      <c r="A117" s="14" t="s">
        <v>404</v>
      </c>
      <c r="B117" s="4">
        <f>VLOOKUP(A117,联盟DKP榜单!A$1:C$598,3,FALSE)-40*COUNTIF(扣分!A:A,A117)</f>
        <v>0</v>
      </c>
      <c r="C117" s="24">
        <f>50*COUNTIF(帮战总榜!A$1:AB$150,$A117)+40*COUNTIF(掠夺!A$1:AB$150,$A117)</f>
        <v>0</v>
      </c>
      <c r="D117" s="24">
        <f>20*COUNTIF(YY统计!A$2:M$150,$A117)</f>
        <v>0</v>
      </c>
      <c r="E117" s="24">
        <f>SUM(B117:D117)</f>
        <v>0</v>
      </c>
      <c r="F117" s="24">
        <f>IF(AND(E117&gt;=16,E117&lt;66),0.01,ROUNDDOWN((E117-16)/50,0))</f>
        <v>0</v>
      </c>
      <c r="G117" s="13">
        <f>IF(AND(F117&gt;=1,F117&lt;=6),E117-F117*50-16,IF(F117=0.01,E117-16,IF(F117=0,0,IF(F117&gt;6,E117-316,0))))</f>
        <v>0</v>
      </c>
    </row>
    <row r="118" spans="1:7" ht="16.5">
      <c r="A118" s="14" t="s">
        <v>405</v>
      </c>
      <c r="B118" s="4">
        <f>VLOOKUP(A118,联盟DKP榜单!A$1:C$598,3,FALSE)-40*COUNTIF(扣分!A:A,A118)</f>
        <v>0</v>
      </c>
      <c r="C118" s="24">
        <f>50*COUNTIF(帮战总榜!A$1:AB$150,$A118)+40*COUNTIF(掠夺!A$1:AB$150,$A118)</f>
        <v>0</v>
      </c>
      <c r="D118" s="24">
        <f>20*COUNTIF(YY统计!A$2:M$150,$A118)</f>
        <v>0</v>
      </c>
      <c r="E118" s="24">
        <f>SUM(B118:D118)</f>
        <v>0</v>
      </c>
      <c r="F118" s="24">
        <f>IF(AND(E118&gt;=16,E118&lt;66),0.01,ROUNDDOWN((E118-16)/50,0))</f>
        <v>0</v>
      </c>
      <c r="G118" s="13">
        <f>IF(AND(F118&gt;=1,F118&lt;=6),E118-F118*50-16,IF(F118=0.01,E118-16,IF(F118=0,0,IF(F118&gt;6,E118-316,0))))</f>
        <v>0</v>
      </c>
    </row>
    <row r="119" spans="1:7" ht="16.5">
      <c r="A119" s="14" t="s">
        <v>406</v>
      </c>
      <c r="B119" s="4">
        <f>VLOOKUP(A119,联盟DKP榜单!A$1:C$598,3,FALSE)-40*COUNTIF(扣分!A:A,A119)</f>
        <v>0</v>
      </c>
      <c r="C119" s="24">
        <f>50*COUNTIF(帮战总榜!A$1:AB$150,$A119)+40*COUNTIF(掠夺!A$1:AB$150,$A119)</f>
        <v>0</v>
      </c>
      <c r="D119" s="24">
        <f>20*COUNTIF(YY统计!A$2:M$150,$A119)</f>
        <v>0</v>
      </c>
      <c r="E119" s="24">
        <f>SUM(B119:D119)</f>
        <v>0</v>
      </c>
      <c r="F119" s="24">
        <f>IF(AND(E119&gt;=16,E119&lt;66),0.01,ROUNDDOWN((E119-16)/50,0))</f>
        <v>0</v>
      </c>
      <c r="G119" s="13">
        <f>IF(AND(F119&gt;=1,F119&lt;=6),E119-F119*50-16,IF(F119=0.01,E119-16,IF(F119=0,0,IF(F119&gt;6,E119-316,0))))</f>
        <v>0</v>
      </c>
    </row>
    <row r="120" spans="1:7" ht="16.5">
      <c r="A120" s="14" t="s">
        <v>407</v>
      </c>
      <c r="B120" s="4">
        <f>VLOOKUP(A120,联盟DKP榜单!A$1:C$598,3,FALSE)-40*COUNTIF(扣分!A:A,A120)</f>
        <v>0</v>
      </c>
      <c r="C120" s="24">
        <f>50*COUNTIF(帮战总榜!A$1:AB$150,$A120)+40*COUNTIF(掠夺!A$1:AB$150,$A120)</f>
        <v>0</v>
      </c>
      <c r="D120" s="24">
        <f>20*COUNTIF(YY统计!A$2:M$150,$A120)</f>
        <v>0</v>
      </c>
      <c r="E120" s="24">
        <f>SUM(B120:D120)</f>
        <v>0</v>
      </c>
      <c r="F120" s="24">
        <f>IF(AND(E120&gt;=16,E120&lt;66),0.01,ROUNDDOWN((E120-16)/50,0))</f>
        <v>0</v>
      </c>
      <c r="G120" s="13">
        <f>IF(AND(F120&gt;=1,F120&lt;=6),E120-F120*50-16,IF(F120=0.01,E120-16,IF(F120=0,0,IF(F120&gt;6,E120-316,0))))</f>
        <v>0</v>
      </c>
    </row>
    <row r="121" spans="1:7" ht="16.5">
      <c r="A121" s="14" t="s">
        <v>596</v>
      </c>
      <c r="B121" s="4">
        <f>VLOOKUP(A121,联盟DKP榜单!A$1:C$598,3,FALSE)-40*COUNTIF(扣分!A:A,A121)</f>
        <v>0</v>
      </c>
      <c r="C121" s="24">
        <f>50*COUNTIF(帮战总榜!A$1:AB$150,$A121)+40*COUNTIF(掠夺!A$1:AB$150,$A121)</f>
        <v>0</v>
      </c>
      <c r="D121" s="24">
        <f>20*COUNTIF(YY统计!A$2:M$150,$A121)</f>
        <v>0</v>
      </c>
      <c r="E121" s="24">
        <f>SUM(B121:D121)</f>
        <v>0</v>
      </c>
      <c r="F121" s="24">
        <f>IF(AND(E121&gt;=16,E121&lt;66),0.01,ROUNDDOWN((E121-16)/50,0))</f>
        <v>0</v>
      </c>
      <c r="G121" s="13">
        <f>IF(AND(F121&gt;=1,F121&lt;=6),E121-F121*50-16,IF(F121=0.01,E121-16,IF(F121=0,0,IF(F121&gt;6,E121-316,0))))</f>
        <v>0</v>
      </c>
    </row>
    <row r="122" spans="1:7" ht="16.5">
      <c r="A122" s="14" t="s">
        <v>408</v>
      </c>
      <c r="B122" s="4">
        <f>VLOOKUP(A122,联盟DKP榜单!A$1:C$598,3,FALSE)-40*COUNTIF(扣分!A:A,A122)</f>
        <v>0</v>
      </c>
      <c r="C122" s="24">
        <f>50*COUNTIF(帮战总榜!A$1:AB$150,$A122)+40*COUNTIF(掠夺!A$1:AB$150,$A122)</f>
        <v>0</v>
      </c>
      <c r="D122" s="24">
        <f>20*COUNTIF(YY统计!A$2:M$150,$A122)</f>
        <v>0</v>
      </c>
      <c r="E122" s="24">
        <f>SUM(B122:D122)</f>
        <v>0</v>
      </c>
      <c r="F122" s="24">
        <f>IF(AND(E122&gt;=16,E122&lt;66),0.01,ROUNDDOWN((E122-16)/50,0))</f>
        <v>0</v>
      </c>
      <c r="G122" s="13">
        <f>IF(AND(F122&gt;=1,F122&lt;=6),E122-F122*50-16,IF(F122=0.01,E122-16,IF(F122=0,0,IF(F122&gt;6,E122-316,0))))</f>
        <v>0</v>
      </c>
    </row>
    <row r="123" spans="1:7" ht="16.5">
      <c r="A123" s="14" t="s">
        <v>409</v>
      </c>
      <c r="B123" s="4">
        <f>VLOOKUP(A123,联盟DKP榜单!A$1:C$598,3,FALSE)-40*COUNTIF(扣分!A:A,A123)</f>
        <v>0</v>
      </c>
      <c r="C123" s="24">
        <f>50*COUNTIF(帮战总榜!A$1:AB$150,$A123)+40*COUNTIF(掠夺!A$1:AB$150,$A123)</f>
        <v>0</v>
      </c>
      <c r="D123" s="24">
        <f>20*COUNTIF(YY统计!A$2:M$150,$A123)</f>
        <v>0</v>
      </c>
      <c r="E123" s="24">
        <f>SUM(B123:D123)</f>
        <v>0</v>
      </c>
      <c r="F123" s="24">
        <f>IF(AND(E123&gt;=16,E123&lt;66),0.01,ROUNDDOWN((E123-16)/50,0))</f>
        <v>0</v>
      </c>
      <c r="G123" s="13">
        <f>IF(AND(F123&gt;=1,F123&lt;=6),E123-F123*50-16,IF(F123=0.01,E123-16,IF(F123=0,0,IF(F123&gt;6,E123-316,0))))</f>
        <v>0</v>
      </c>
    </row>
    <row r="124" spans="1:7" ht="16.5">
      <c r="A124" s="14" t="s">
        <v>410</v>
      </c>
      <c r="B124" s="4">
        <f>VLOOKUP(A124,联盟DKP榜单!A$1:C$598,3,FALSE)-40*COUNTIF(扣分!A:A,A124)</f>
        <v>0</v>
      </c>
      <c r="C124" s="24">
        <f>50*COUNTIF(帮战总榜!A$1:AB$150,$A124)+40*COUNTIF(掠夺!A$1:AB$150,$A124)</f>
        <v>0</v>
      </c>
      <c r="D124" s="24">
        <f>20*COUNTIF(YY统计!A$2:M$150,$A124)</f>
        <v>0</v>
      </c>
      <c r="E124" s="24">
        <f>SUM(B124:D124)</f>
        <v>0</v>
      </c>
      <c r="F124" s="24">
        <f>IF(AND(E124&gt;=16,E124&lt;66),0.01,ROUNDDOWN((E124-16)/50,0))</f>
        <v>0</v>
      </c>
      <c r="G124" s="13">
        <f>IF(AND(F124&gt;=1,F124&lt;=6),E124-F124*50-16,IF(F124=0.01,E124-16,IF(F124=0,0,IF(F124&gt;6,E124-316,0))))</f>
        <v>0</v>
      </c>
    </row>
    <row r="125" spans="1:7" ht="16.5">
      <c r="A125" s="14" t="s">
        <v>411</v>
      </c>
      <c r="B125" s="4">
        <f>VLOOKUP(A125,联盟DKP榜单!A$1:C$598,3,FALSE)-40*COUNTIF(扣分!A:A,A125)</f>
        <v>0</v>
      </c>
      <c r="C125" s="24">
        <f>50*COUNTIF(帮战总榜!A$1:AB$150,$A125)+40*COUNTIF(掠夺!A$1:AB$150,$A125)</f>
        <v>0</v>
      </c>
      <c r="D125" s="24">
        <f>20*COUNTIF(YY统计!A$2:M$150,$A125)</f>
        <v>0</v>
      </c>
      <c r="E125" s="24">
        <f>SUM(B125:D125)</f>
        <v>0</v>
      </c>
      <c r="F125" s="24">
        <f>IF(AND(E125&gt;=16,E125&lt;66),0.01,ROUNDDOWN((E125-16)/50,0))</f>
        <v>0</v>
      </c>
      <c r="G125" s="13">
        <f>IF(AND(F125&gt;=1,F125&lt;=6),E125-F125*50-16,IF(F125=0.01,E125-16,IF(F125=0,0,IF(F125&gt;6,E125-316,0))))</f>
        <v>0</v>
      </c>
    </row>
    <row r="126" spans="1:7" ht="16.5">
      <c r="A126" s="14" t="s">
        <v>412</v>
      </c>
      <c r="B126" s="4">
        <f>VLOOKUP(A126,联盟DKP榜单!A$1:C$598,3,FALSE)-40*COUNTIF(扣分!A:A,A126)</f>
        <v>0</v>
      </c>
      <c r="C126" s="24">
        <f>50*COUNTIF(帮战总榜!A$1:AB$150,$A126)+40*COUNTIF(掠夺!A$1:AB$150,$A126)</f>
        <v>0</v>
      </c>
      <c r="D126" s="24">
        <f>20*COUNTIF(YY统计!A$2:M$150,$A126)</f>
        <v>0</v>
      </c>
      <c r="E126" s="24">
        <f>SUM(B126:D126)</f>
        <v>0</v>
      </c>
      <c r="F126" s="24">
        <f>IF(AND(E126&gt;=16,E126&lt;66),0.01,ROUNDDOWN((E126-16)/50,0))</f>
        <v>0</v>
      </c>
      <c r="G126" s="13">
        <f>IF(AND(F126&gt;=1,F126&lt;=6),E126-F126*50-16,IF(F126=0.01,E126-16,IF(F126=0,0,IF(F126&gt;6,E126-316,0))))</f>
        <v>0</v>
      </c>
    </row>
    <row r="127" spans="1:7" ht="16.5">
      <c r="A127" s="14" t="s">
        <v>413</v>
      </c>
      <c r="B127" s="4">
        <f>VLOOKUP(A127,联盟DKP榜单!A$1:C$598,3,FALSE)-40*COUNTIF(扣分!A:A,A127)</f>
        <v>0</v>
      </c>
      <c r="C127" s="24">
        <f>50*COUNTIF(帮战总榜!A$1:AB$150,$A127)+40*COUNTIF(掠夺!A$1:AB$150,$A127)</f>
        <v>0</v>
      </c>
      <c r="D127" s="24">
        <f>20*COUNTIF(YY统计!A$2:M$150,$A127)</f>
        <v>0</v>
      </c>
      <c r="E127" s="24">
        <f>SUM(B127:D127)</f>
        <v>0</v>
      </c>
      <c r="F127" s="24">
        <f>IF(AND(E127&gt;=16,E127&lt;66),0.01,ROUNDDOWN((E127-16)/50,0))</f>
        <v>0</v>
      </c>
      <c r="G127" s="13">
        <f>IF(AND(F127&gt;=1,F127&lt;=6),E127-F127*50-16,IF(F127=0.01,E127-16,IF(F127=0,0,IF(F127&gt;6,E127-316,0))))</f>
        <v>0</v>
      </c>
    </row>
    <row r="128" spans="1:7" ht="16.5">
      <c r="A128" s="14" t="s">
        <v>415</v>
      </c>
      <c r="B128" s="4">
        <f>VLOOKUP(A128,联盟DKP榜单!A$1:C$598,3,FALSE)-40*COUNTIF(扣分!A:A,A128)</f>
        <v>0</v>
      </c>
      <c r="C128" s="24">
        <f>50*COUNTIF(帮战总榜!A$1:AB$150,$A128)+40*COUNTIF(掠夺!A$1:AB$150,$A128)</f>
        <v>0</v>
      </c>
      <c r="D128" s="24">
        <f>20*COUNTIF(YY统计!A$2:M$150,$A128)</f>
        <v>0</v>
      </c>
      <c r="E128" s="24">
        <f>SUM(B128:D128)</f>
        <v>0</v>
      </c>
      <c r="F128" s="24">
        <f>IF(AND(E128&gt;=16,E128&lt;66),0.01,ROUNDDOWN((E128-16)/50,0))</f>
        <v>0</v>
      </c>
      <c r="G128" s="13">
        <f>IF(AND(F128&gt;=1,F128&lt;=6),E128-F128*50-16,IF(F128=0.01,E128-16,IF(F128=0,0,IF(F128&gt;6,E128-316,0))))</f>
        <v>0</v>
      </c>
    </row>
    <row r="129" spans="1:7" ht="16.5">
      <c r="A129" s="14" t="s">
        <v>597</v>
      </c>
      <c r="B129" s="4">
        <f>VLOOKUP(A129,联盟DKP榜单!A$1:C$598,3,FALSE)-40*COUNTIF(扣分!A:A,A129)</f>
        <v>0</v>
      </c>
      <c r="C129" s="24">
        <f>50*COUNTIF(帮战总榜!A$1:AB$150,$A129)+40*COUNTIF(掠夺!A$1:AB$150,$A129)</f>
        <v>0</v>
      </c>
      <c r="D129" s="24">
        <f>20*COUNTIF(YY统计!A$2:M$150,$A129)</f>
        <v>0</v>
      </c>
      <c r="E129" s="24">
        <f>SUM(B129:D129)</f>
        <v>0</v>
      </c>
      <c r="F129" s="24">
        <f>IF(AND(E129&gt;=16,E129&lt;66),0.01,ROUNDDOWN((E129-16)/50,0))</f>
        <v>0</v>
      </c>
      <c r="G129" s="13">
        <f>IF(AND(F129&gt;=1,F129&lt;=6),E129-F129*50-16,IF(F129=0.01,E129-16,IF(F129=0,0,IF(F129&gt;6,E129-316,0))))</f>
        <v>0</v>
      </c>
    </row>
    <row r="130" spans="1:7" ht="16.5">
      <c r="A130" s="14" t="s">
        <v>416</v>
      </c>
      <c r="B130" s="4">
        <f>VLOOKUP(A130,联盟DKP榜单!A$1:C$598,3,FALSE)-40*COUNTIF(扣分!A:A,A130)</f>
        <v>0</v>
      </c>
      <c r="C130" s="24">
        <f>50*COUNTIF(帮战总榜!A$1:AB$150,$A130)+40*COUNTIF(掠夺!A$1:AB$150,$A130)</f>
        <v>0</v>
      </c>
      <c r="D130" s="24">
        <f>20*COUNTIF(YY统计!A$2:M$150,$A130)</f>
        <v>0</v>
      </c>
      <c r="E130" s="24">
        <f>SUM(B130:D130)</f>
        <v>0</v>
      </c>
      <c r="F130" s="24">
        <f>IF(AND(E130&gt;=16,E130&lt;66),0.01,ROUNDDOWN((E130-16)/50,0))</f>
        <v>0</v>
      </c>
      <c r="G130" s="13">
        <f>IF(AND(F130&gt;=1,F130&lt;=6),E130-F130*50-16,IF(F130=0.01,E130-16,IF(F130=0,0,IF(F130&gt;6,E130-316,0))))</f>
        <v>0</v>
      </c>
    </row>
    <row r="131" spans="1:7" ht="16.5">
      <c r="A131" s="14" t="s">
        <v>417</v>
      </c>
      <c r="B131" s="4">
        <f>VLOOKUP(A131,联盟DKP榜单!A$1:C$598,3,FALSE)-40*COUNTIF(扣分!A:A,A131)</f>
        <v>0</v>
      </c>
      <c r="C131" s="24">
        <f>50*COUNTIF(帮战总榜!A$1:AB$150,$A131)+40*COUNTIF(掠夺!A$1:AB$150,$A131)</f>
        <v>0</v>
      </c>
      <c r="D131" s="24">
        <f>20*COUNTIF(YY统计!A$2:M$150,$A131)</f>
        <v>0</v>
      </c>
      <c r="E131" s="24">
        <f>SUM(B131:D131)</f>
        <v>0</v>
      </c>
      <c r="F131" s="24">
        <f>IF(AND(E131&gt;=16,E131&lt;66),0.01,ROUNDDOWN((E131-16)/50,0))</f>
        <v>0</v>
      </c>
      <c r="G131" s="13">
        <f>IF(AND(F131&gt;=1,F131&lt;=6),E131-F131*50-16,IF(F131=0.01,E131-16,IF(F131=0,0,IF(F131&gt;6,E131-316,0))))</f>
        <v>0</v>
      </c>
    </row>
    <row r="132" spans="1:7" ht="16.5">
      <c r="A132" s="14" t="s">
        <v>418</v>
      </c>
      <c r="B132" s="4">
        <f>VLOOKUP(A132,联盟DKP榜单!A$1:C$598,3,FALSE)-40*COUNTIF(扣分!A:A,A132)</f>
        <v>0</v>
      </c>
      <c r="C132" s="24">
        <f>50*COUNTIF(帮战总榜!A$1:AB$150,$A132)+40*COUNTIF(掠夺!A$1:AB$150,$A132)</f>
        <v>0</v>
      </c>
      <c r="D132" s="24">
        <f>20*COUNTIF(YY统计!A$2:M$150,$A132)</f>
        <v>0</v>
      </c>
      <c r="E132" s="24">
        <f>SUM(B132:D132)</f>
        <v>0</v>
      </c>
      <c r="F132" s="24">
        <f>IF(AND(E132&gt;=16,E132&lt;66),0.01,ROUNDDOWN((E132-16)/50,0))</f>
        <v>0</v>
      </c>
      <c r="G132" s="13">
        <f>IF(AND(F132&gt;=1,F132&lt;=6),E132-F132*50-16,IF(F132=0.01,E132-16,IF(F132=0,0,IF(F132&gt;6,E132-316,0))))</f>
        <v>0</v>
      </c>
    </row>
    <row r="133" spans="1:7" ht="16.5">
      <c r="A133" s="14" t="s">
        <v>495</v>
      </c>
      <c r="B133" s="4">
        <f>VLOOKUP(A133,联盟DKP榜单!A$1:C$598,3,FALSE)-40*COUNTIF(扣分!A:A,A133)</f>
        <v>0</v>
      </c>
      <c r="C133" s="24">
        <f>50*COUNTIF(帮战总榜!A$1:AB$150,$A133)+40*COUNTIF(掠夺!A$1:AB$150,$A133)</f>
        <v>0</v>
      </c>
      <c r="D133" s="24">
        <f>20*COUNTIF(YY统计!A$2:M$150,$A133)</f>
        <v>0</v>
      </c>
      <c r="E133" s="24">
        <f>SUM(B133:D133)</f>
        <v>0</v>
      </c>
      <c r="F133" s="24">
        <f>IF(AND(E133&gt;=16,E133&lt;66),0.01,ROUNDDOWN((E133-16)/50,0))</f>
        <v>0</v>
      </c>
      <c r="G133" s="13">
        <f>IF(AND(F133&gt;=1,F133&lt;=6),E133-F133*50-16,IF(F133=0.01,E133-16,IF(F133=0,0,IF(F133&gt;6,E133-316,0))))</f>
        <v>0</v>
      </c>
    </row>
    <row r="134" spans="1:7" ht="16.5">
      <c r="A134" s="14" t="s">
        <v>419</v>
      </c>
      <c r="B134" s="4">
        <f>VLOOKUP(A134,联盟DKP榜单!A$1:C$598,3,FALSE)-40*COUNTIF(扣分!A:A,A134)</f>
        <v>0</v>
      </c>
      <c r="C134" s="24">
        <f>50*COUNTIF(帮战总榜!A$1:AB$150,$A134)+40*COUNTIF(掠夺!A$1:AB$150,$A134)</f>
        <v>0</v>
      </c>
      <c r="D134" s="24">
        <f>20*COUNTIF(YY统计!A$2:M$150,$A134)</f>
        <v>0</v>
      </c>
      <c r="E134" s="24">
        <f>SUM(B134:D134)</f>
        <v>0</v>
      </c>
      <c r="F134" s="24">
        <f>IF(AND(E134&gt;=16,E134&lt;66),0.01,ROUNDDOWN((E134-16)/50,0))</f>
        <v>0</v>
      </c>
      <c r="G134" s="13">
        <f>IF(AND(F134&gt;=1,F134&lt;=6),E134-F134*50-16,IF(F134=0.01,E134-16,IF(F134=0,0,IF(F134&gt;6,E134-316,0))))</f>
        <v>0</v>
      </c>
    </row>
    <row r="135" spans="1:7" ht="16.5">
      <c r="A135" s="14" t="s">
        <v>421</v>
      </c>
      <c r="B135" s="4">
        <f>VLOOKUP(A135,联盟DKP榜单!A$1:C$598,3,FALSE)-40*COUNTIF(扣分!A:A,A135)</f>
        <v>0</v>
      </c>
      <c r="C135" s="24">
        <f>50*COUNTIF(帮战总榜!A$1:AB$150,$A135)+40*COUNTIF(掠夺!A$1:AB$150,$A135)</f>
        <v>0</v>
      </c>
      <c r="D135" s="24">
        <f>20*COUNTIF(YY统计!A$2:M$150,$A135)</f>
        <v>0</v>
      </c>
      <c r="E135" s="24">
        <f>SUM(B135:D135)</f>
        <v>0</v>
      </c>
      <c r="F135" s="24">
        <f>IF(AND(E135&gt;=16,E135&lt;66),0.01,ROUNDDOWN((E135-16)/50,0))</f>
        <v>0</v>
      </c>
      <c r="G135" s="13">
        <f>IF(AND(F135&gt;=1,F135&lt;=6),E135-F135*50-16,IF(F135=0.01,E135-16,IF(F135=0,0,IF(F135&gt;6,E135-316,0))))</f>
        <v>0</v>
      </c>
    </row>
    <row r="136" spans="1:7" ht="16.5">
      <c r="A136" s="14" t="s">
        <v>422</v>
      </c>
      <c r="B136" s="4">
        <f>VLOOKUP(A136,联盟DKP榜单!A$1:C$598,3,FALSE)-40*COUNTIF(扣分!A:A,A136)</f>
        <v>0</v>
      </c>
      <c r="C136" s="24">
        <f>50*COUNTIF(帮战总榜!A$1:AB$150,$A136)+40*COUNTIF(掠夺!A$1:AB$150,$A136)</f>
        <v>0</v>
      </c>
      <c r="D136" s="24">
        <f>20*COUNTIF(YY统计!A$2:M$150,$A136)</f>
        <v>0</v>
      </c>
      <c r="E136" s="24">
        <f>SUM(B136:D136)</f>
        <v>0</v>
      </c>
      <c r="F136" s="24">
        <f>IF(AND(E136&gt;=16,E136&lt;66),0.01,ROUNDDOWN((E136-16)/50,0))</f>
        <v>0</v>
      </c>
      <c r="G136" s="13">
        <f>IF(AND(F136&gt;=1,F136&lt;=6),E136-F136*50-16,IF(F136=0.01,E136-16,IF(F136=0,0,IF(F136&gt;6,E136-316,0))))</f>
        <v>0</v>
      </c>
    </row>
    <row r="137" spans="1:7" ht="16.5">
      <c r="A137" s="14" t="s">
        <v>423</v>
      </c>
      <c r="B137" s="4">
        <f>VLOOKUP(A137,联盟DKP榜单!A$1:C$598,3,FALSE)-40*COUNTIF(扣分!A:A,A137)</f>
        <v>0</v>
      </c>
      <c r="C137" s="24">
        <f>50*COUNTIF(帮战总榜!A$1:AB$150,$A137)+40*COUNTIF(掠夺!A$1:AB$150,$A137)</f>
        <v>0</v>
      </c>
      <c r="D137" s="24">
        <f>20*COUNTIF(YY统计!A$2:M$150,$A137)</f>
        <v>0</v>
      </c>
      <c r="E137" s="24">
        <f>SUM(B137:D137)</f>
        <v>0</v>
      </c>
      <c r="F137" s="24">
        <f>IF(AND(E137&gt;=16,E137&lt;66),0.01,ROUNDDOWN((E137-16)/50,0))</f>
        <v>0</v>
      </c>
      <c r="G137" s="13">
        <f>IF(AND(F137&gt;=1,F137&lt;=6),E137-F137*50-16,IF(F137=0.01,E137-16,IF(F137=0,0,IF(F137&gt;6,E137-316,0))))</f>
        <v>0</v>
      </c>
    </row>
    <row r="138" spans="1:7" ht="16.5">
      <c r="A138" s="14" t="s">
        <v>424</v>
      </c>
      <c r="B138" s="4">
        <f>VLOOKUP(A138,联盟DKP榜单!A$1:C$598,3,FALSE)-40*COUNTIF(扣分!A:A,A138)</f>
        <v>0</v>
      </c>
      <c r="C138" s="24">
        <f>50*COUNTIF(帮战总榜!A$1:AB$150,$A138)+40*COUNTIF(掠夺!A$1:AB$150,$A138)</f>
        <v>0</v>
      </c>
      <c r="D138" s="24">
        <f>20*COUNTIF(YY统计!A$2:M$150,$A138)</f>
        <v>0</v>
      </c>
      <c r="E138" s="24">
        <f>SUM(B138:D138)</f>
        <v>0</v>
      </c>
      <c r="F138" s="24">
        <f>IF(AND(E138&gt;=16,E138&lt;66),0.01,ROUNDDOWN((E138-16)/50,0))</f>
        <v>0</v>
      </c>
      <c r="G138" s="13">
        <f>IF(AND(F138&gt;=1,F138&lt;=6),E138-F138*50-16,IF(F138=0.01,E138-16,IF(F138=0,0,IF(F138&gt;6,E138-316,0))))</f>
        <v>0</v>
      </c>
    </row>
    <row r="139" spans="1:7" ht="16.5">
      <c r="A139" s="14" t="s">
        <v>381</v>
      </c>
      <c r="B139" s="4">
        <f>VLOOKUP(A139,联盟DKP榜单!A$1:C$598,3,FALSE)-40*COUNTIF(扣分!A:A,A139)</f>
        <v>0</v>
      </c>
      <c r="C139" s="24">
        <f>50*COUNTIF(帮战总榜!A$1:AB$150,$A139)+40*COUNTIF(掠夺!A$1:AB$150,$A139)</f>
        <v>0</v>
      </c>
      <c r="D139" s="24">
        <f>20*COUNTIF(YY统计!A$2:M$150,$A139)</f>
        <v>0</v>
      </c>
      <c r="E139" s="24">
        <f>SUM(B139:D139)</f>
        <v>0</v>
      </c>
      <c r="F139" s="24">
        <f>IF(AND(E139&gt;=16,E139&lt;66),0.01,ROUNDDOWN((E139-16)/50,0))</f>
        <v>0</v>
      </c>
      <c r="G139" s="13">
        <f>IF(AND(F139&gt;=1,F139&lt;=6),E139-F139*50-16,IF(F139=0.01,E139-16,IF(F139=0,0,IF(F139&gt;6,E139-316,0))))</f>
        <v>0</v>
      </c>
    </row>
    <row r="140" spans="1:7" ht="16.5">
      <c r="A140" s="14" t="s">
        <v>478</v>
      </c>
      <c r="B140" s="4">
        <f>VLOOKUP(A140,联盟DKP榜单!A$1:C$598,3,FALSE)-40*COUNTIF(扣分!A:A,A140)</f>
        <v>0</v>
      </c>
      <c r="C140" s="24">
        <f>50*COUNTIF(帮战总榜!A$1:AB$150,$A140)+40*COUNTIF(掠夺!A$1:AB$150,$A140)</f>
        <v>0</v>
      </c>
      <c r="D140" s="24">
        <f>20*COUNTIF(YY统计!A$2:M$150,$A140)</f>
        <v>0</v>
      </c>
      <c r="E140" s="24">
        <f>SUM(B140:D140)</f>
        <v>0</v>
      </c>
      <c r="F140" s="24">
        <f>IF(AND(E140&gt;=16,E140&lt;66),0.01,ROUNDDOWN((E140-16)/50,0))</f>
        <v>0</v>
      </c>
      <c r="G140" s="13">
        <f>IF(AND(F140&gt;=1,F140&lt;=6),E140-F140*50-16,IF(F140=0.01,E140-16,IF(F140=0,0,IF(F140&gt;6,E140-316,0))))</f>
        <v>0</v>
      </c>
    </row>
    <row r="141" spans="1:7" ht="16.5">
      <c r="A141" s="14" t="s">
        <v>479</v>
      </c>
      <c r="B141" s="4">
        <f>VLOOKUP(A141,联盟DKP榜单!A$1:C$598,3,FALSE)-40*COUNTIF(扣分!A:A,A141)</f>
        <v>0</v>
      </c>
      <c r="C141" s="24">
        <f>50*COUNTIF(帮战总榜!A$1:AB$150,$A141)+40*COUNTIF(掠夺!A$1:AB$150,$A141)</f>
        <v>0</v>
      </c>
      <c r="D141" s="24">
        <f>20*COUNTIF(YY统计!A$2:M$150,$A141)</f>
        <v>0</v>
      </c>
      <c r="E141" s="24">
        <f>SUM(B141:D141)</f>
        <v>0</v>
      </c>
      <c r="F141" s="24">
        <f>IF(AND(E141&gt;=16,E141&lt;66),0.01,ROUNDDOWN((E141-16)/50,0))</f>
        <v>0</v>
      </c>
      <c r="G141" s="13">
        <f>IF(AND(F141&gt;=1,F141&lt;=6),E141-F141*50-16,IF(F141=0.01,E141-16,IF(F141=0,0,IF(F141&gt;6,E141-316,0))))</f>
        <v>0</v>
      </c>
    </row>
    <row r="142" spans="1:7" ht="16.5">
      <c r="A142" s="14" t="s">
        <v>477</v>
      </c>
      <c r="B142" s="4">
        <f>VLOOKUP(A142,联盟DKP榜单!A$1:C$598,3,FALSE)-40*COUNTIF(扣分!A:A,A142)</f>
        <v>0</v>
      </c>
      <c r="C142" s="24">
        <f>50*COUNTIF(帮战总榜!A$1:AB$150,$A142)+40*COUNTIF(掠夺!A$1:AB$150,$A142)</f>
        <v>0</v>
      </c>
      <c r="D142" s="24">
        <f>20*COUNTIF(YY统计!A$2:M$150,$A142)</f>
        <v>0</v>
      </c>
      <c r="E142" s="24">
        <f>SUM(B142:D142)</f>
        <v>0</v>
      </c>
      <c r="F142" s="24">
        <f>IF(AND(E142&gt;=16,E142&lt;66),0.01,ROUNDDOWN((E142-16)/50,0))</f>
        <v>0</v>
      </c>
      <c r="G142" s="13">
        <f>IF(AND(F142&gt;=1,F142&lt;=6),E142-F142*50-16,IF(F142=0.01,E142-16,IF(F142=0,0,IF(F142&gt;6,E142-316,0))))</f>
        <v>0</v>
      </c>
    </row>
    <row r="143" spans="1:7" ht="16.5">
      <c r="A143" s="14"/>
      <c r="B143" s="4"/>
      <c r="C143" s="24"/>
      <c r="D143" s="24"/>
      <c r="E143" s="24"/>
      <c r="F143" s="24"/>
    </row>
    <row r="144" spans="1:7" ht="16.5">
      <c r="A144" s="14"/>
      <c r="B144" s="4"/>
      <c r="C144" s="24"/>
      <c r="D144" s="24"/>
      <c r="E144" s="24"/>
      <c r="F144" s="24"/>
    </row>
    <row r="145" spans="1:6" ht="16.5">
      <c r="A145" s="14"/>
      <c r="B145" s="4"/>
      <c r="C145" s="24"/>
      <c r="D145" s="24"/>
      <c r="E145" s="24"/>
      <c r="F145" s="24"/>
    </row>
    <row r="146" spans="1:6" ht="16.5">
      <c r="B146" s="4"/>
      <c r="C146" s="12"/>
      <c r="D146" s="12"/>
      <c r="E146" s="12"/>
      <c r="F146" s="12"/>
    </row>
    <row r="147" spans="1:6" ht="16.5">
      <c r="B147" s="4"/>
      <c r="C147" s="12"/>
      <c r="D147" s="12"/>
      <c r="E147" s="12"/>
      <c r="F147" s="12"/>
    </row>
    <row r="148" spans="1:6" ht="16.5">
      <c r="B148" s="4"/>
      <c r="C148" s="11"/>
      <c r="D148" s="11"/>
      <c r="E148" s="11"/>
      <c r="F148" s="11"/>
    </row>
    <row r="149" spans="1:6" ht="16.5">
      <c r="B149" s="4"/>
      <c r="C149" s="11"/>
      <c r="D149" s="11"/>
      <c r="E149" s="11"/>
      <c r="F149" s="11"/>
    </row>
  </sheetData>
  <sortState ref="A2:G151">
    <sortCondition descending="1" ref="F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6"/>
  <sheetViews>
    <sheetView workbookViewId="0"/>
  </sheetViews>
  <sheetFormatPr defaultRowHeight="15"/>
  <cols>
    <col min="1" max="1" width="31.7109375" customWidth="1"/>
  </cols>
  <sheetData>
    <row r="1" spans="1:1">
      <c r="A1" s="25" t="s">
        <v>367</v>
      </c>
    </row>
    <row r="2" spans="1:1">
      <c r="A2" s="25" t="s">
        <v>167</v>
      </c>
    </row>
    <row r="3" spans="1:1">
      <c r="A3" s="25" t="s">
        <v>155</v>
      </c>
    </row>
    <row r="4" spans="1:1">
      <c r="A4" s="25" t="s">
        <v>431</v>
      </c>
    </row>
    <row r="5" spans="1:1">
      <c r="A5" s="25" t="s">
        <v>74</v>
      </c>
    </row>
    <row r="6" spans="1:1">
      <c r="A6" s="25"/>
    </row>
    <row r="7" spans="1:1">
      <c r="A7" s="25"/>
    </row>
    <row r="8" spans="1:1">
      <c r="A8" s="25"/>
    </row>
    <row r="9" spans="1:1">
      <c r="A9" s="25"/>
    </row>
    <row r="10" spans="1:1">
      <c r="A10" s="25"/>
    </row>
    <row r="11" spans="1:1">
      <c r="A11" s="25"/>
    </row>
    <row r="12" spans="1:1">
      <c r="A12" s="25"/>
    </row>
    <row r="13" spans="1:1">
      <c r="A13" s="25"/>
    </row>
    <row r="14" spans="1:1">
      <c r="A14" s="25"/>
    </row>
    <row r="15" spans="1:1">
      <c r="A15" s="25"/>
    </row>
    <row r="16" spans="1:1">
      <c r="A16" s="25"/>
    </row>
    <row r="17" spans="1:1">
      <c r="A17" s="25"/>
    </row>
    <row r="18" spans="1:1">
      <c r="A18" s="25"/>
    </row>
    <row r="19" spans="1:1">
      <c r="A19" s="25"/>
    </row>
    <row r="20" spans="1:1">
      <c r="A20" s="25"/>
    </row>
    <row r="21" spans="1:1">
      <c r="A21" s="25"/>
    </row>
    <row r="22" spans="1:1">
      <c r="A22" s="25"/>
    </row>
    <row r="23" spans="1:1">
      <c r="A23" s="25"/>
    </row>
    <row r="24" spans="1:1">
      <c r="A24" s="25"/>
    </row>
    <row r="25" spans="1:1">
      <c r="A25" s="25"/>
    </row>
    <row r="26" spans="1:1">
      <c r="A26" s="25"/>
    </row>
    <row r="27" spans="1:1">
      <c r="A27" s="25"/>
    </row>
    <row r="28" spans="1:1">
      <c r="A28" s="25"/>
    </row>
    <row r="29" spans="1:1">
      <c r="A29" s="25"/>
    </row>
    <row r="30" spans="1:1">
      <c r="A30" s="25"/>
    </row>
    <row r="31" spans="1:1">
      <c r="A31" s="25"/>
    </row>
    <row r="32" spans="1:1">
      <c r="A32" s="25"/>
    </row>
    <row r="33" spans="1:1">
      <c r="A33" s="25"/>
    </row>
    <row r="34" spans="1:1">
      <c r="A34" s="25"/>
    </row>
    <row r="35" spans="1:1">
      <c r="A35" s="25"/>
    </row>
    <row r="36" spans="1:1">
      <c r="A36" s="25"/>
    </row>
    <row r="37" spans="1:1">
      <c r="A37" s="25"/>
    </row>
    <row r="38" spans="1:1">
      <c r="A38" s="25"/>
    </row>
    <row r="39" spans="1:1">
      <c r="A39" s="25"/>
    </row>
    <row r="40" spans="1:1">
      <c r="A40" s="25"/>
    </row>
    <row r="41" spans="1:1">
      <c r="A41" s="25"/>
    </row>
    <row r="42" spans="1:1">
      <c r="A42" s="25"/>
    </row>
    <row r="43" spans="1:1">
      <c r="A43" s="25"/>
    </row>
    <row r="44" spans="1:1">
      <c r="A44" s="25"/>
    </row>
    <row r="45" spans="1:1">
      <c r="A45" s="25"/>
    </row>
    <row r="46" spans="1:1">
      <c r="A46" s="25"/>
    </row>
    <row r="47" spans="1:1">
      <c r="A47" s="25"/>
    </row>
    <row r="48" spans="1:1">
      <c r="A48" s="25"/>
    </row>
    <row r="49" spans="1:1">
      <c r="A49" s="25"/>
    </row>
    <row r="50" spans="1:1">
      <c r="A50" s="25"/>
    </row>
    <row r="51" spans="1:1">
      <c r="A51" s="25"/>
    </row>
    <row r="52" spans="1:1">
      <c r="A52" s="25"/>
    </row>
    <row r="53" spans="1:1">
      <c r="A53" s="25"/>
    </row>
    <row r="54" spans="1:1">
      <c r="A54" s="25"/>
    </row>
    <row r="55" spans="1:1">
      <c r="A55" s="25"/>
    </row>
    <row r="56" spans="1:1">
      <c r="A56" s="25"/>
    </row>
    <row r="57" spans="1:1">
      <c r="A57" s="25"/>
    </row>
    <row r="58" spans="1:1">
      <c r="A58" s="25"/>
    </row>
    <row r="59" spans="1:1">
      <c r="A59" s="25"/>
    </row>
    <row r="60" spans="1:1">
      <c r="A60" s="25"/>
    </row>
    <row r="61" spans="1:1">
      <c r="A61" s="25"/>
    </row>
    <row r="62" spans="1:1">
      <c r="A62" s="25"/>
    </row>
    <row r="63" spans="1:1">
      <c r="A63" s="25"/>
    </row>
    <row r="64" spans="1:1">
      <c r="A64" s="25"/>
    </row>
    <row r="65" spans="1:1">
      <c r="A65" s="25"/>
    </row>
    <row r="66" spans="1:1">
      <c r="A66" s="2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79"/>
  <sheetViews>
    <sheetView tabSelected="1" workbookViewId="0">
      <selection activeCell="L6" sqref="L6"/>
    </sheetView>
  </sheetViews>
  <sheetFormatPr defaultRowHeight="15"/>
  <cols>
    <col min="1" max="1" width="17.28515625" bestFit="1" customWidth="1"/>
  </cols>
  <sheetData>
    <row r="1" spans="1:2">
      <c r="A1" s="14" t="s">
        <v>161</v>
      </c>
      <c r="B1" t="e">
        <f>VLOOKUP(A1,CHOOSE({1,2,3,4},'逐梦-箱子'!A$2:G$151,'如梦-箱子'!A$2:G$151,'若梦-箱子'!A$2:G$151,'何梦-箱子'!A$2:G$151,),7,FALSE)</f>
        <v>#N/A</v>
      </c>
    </row>
    <row r="2" spans="1:2">
      <c r="A2" s="14" t="s">
        <v>358</v>
      </c>
    </row>
    <row r="3" spans="1:2">
      <c r="A3" s="14" t="s">
        <v>446</v>
      </c>
    </row>
    <row r="4" spans="1:2">
      <c r="A4" s="14" t="s">
        <v>46</v>
      </c>
    </row>
    <row r="5" spans="1:2">
      <c r="A5" s="14" t="s">
        <v>150</v>
      </c>
    </row>
    <row r="6" spans="1:2">
      <c r="A6" s="14" t="s">
        <v>142</v>
      </c>
    </row>
    <row r="7" spans="1:2">
      <c r="A7" s="14" t="s">
        <v>362</v>
      </c>
    </row>
    <row r="8" spans="1:2">
      <c r="A8" s="14" t="s">
        <v>48</v>
      </c>
    </row>
    <row r="9" spans="1:2">
      <c r="A9" s="14" t="s">
        <v>517</v>
      </c>
    </row>
    <row r="10" spans="1:2">
      <c r="A10" s="14" t="s">
        <v>140</v>
      </c>
    </row>
    <row r="11" spans="1:2">
      <c r="A11" s="14" t="s">
        <v>520</v>
      </c>
    </row>
    <row r="12" spans="1:2">
      <c r="A12" s="14" t="s">
        <v>166</v>
      </c>
    </row>
    <row r="13" spans="1:2">
      <c r="A13" s="14" t="s">
        <v>42</v>
      </c>
    </row>
    <row r="14" spans="1:2">
      <c r="A14" s="14" t="s">
        <v>177</v>
      </c>
    </row>
    <row r="15" spans="1:2">
      <c r="A15" s="14" t="s">
        <v>167</v>
      </c>
    </row>
    <row r="16" spans="1:2">
      <c r="A16" s="14" t="s">
        <v>156</v>
      </c>
    </row>
    <row r="17" spans="1:1">
      <c r="A17" s="14" t="s">
        <v>420</v>
      </c>
    </row>
    <row r="18" spans="1:1">
      <c r="A18" s="14" t="s">
        <v>265</v>
      </c>
    </row>
    <row r="19" spans="1:1">
      <c r="A19" s="14" t="s">
        <v>350</v>
      </c>
    </row>
    <row r="20" spans="1:1">
      <c r="A20" s="14" t="s">
        <v>18</v>
      </c>
    </row>
    <row r="21" spans="1:1">
      <c r="A21" s="14" t="s">
        <v>43</v>
      </c>
    </row>
    <row r="22" spans="1:1">
      <c r="A22" s="14" t="s">
        <v>137</v>
      </c>
    </row>
    <row r="23" spans="1:1">
      <c r="A23" s="14" t="s">
        <v>163</v>
      </c>
    </row>
    <row r="24" spans="1:1">
      <c r="A24" s="14" t="s">
        <v>56</v>
      </c>
    </row>
    <row r="25" spans="1:1">
      <c r="A25" s="14" t="s">
        <v>353</v>
      </c>
    </row>
    <row r="26" spans="1:1">
      <c r="A26" s="14" t="s">
        <v>550</v>
      </c>
    </row>
    <row r="27" spans="1:1">
      <c r="A27" s="14" t="s">
        <v>266</v>
      </c>
    </row>
    <row r="28" spans="1:1">
      <c r="A28" s="14" t="s">
        <v>33</v>
      </c>
    </row>
    <row r="29" spans="1:1">
      <c r="A29" s="14" t="s">
        <v>32</v>
      </c>
    </row>
    <row r="30" spans="1:1">
      <c r="A30" s="14" t="s">
        <v>347</v>
      </c>
    </row>
    <row r="31" spans="1:1">
      <c r="A31" s="14" t="s">
        <v>267</v>
      </c>
    </row>
    <row r="32" spans="1:1">
      <c r="A32" s="14" t="s">
        <v>67</v>
      </c>
    </row>
    <row r="33" spans="1:1">
      <c r="A33" s="14" t="s">
        <v>183</v>
      </c>
    </row>
    <row r="34" spans="1:1">
      <c r="A34" s="14" t="s">
        <v>36</v>
      </c>
    </row>
    <row r="35" spans="1:1">
      <c r="A35" s="14" t="s">
        <v>144</v>
      </c>
    </row>
    <row r="36" spans="1:1">
      <c r="A36" s="14" t="s">
        <v>359</v>
      </c>
    </row>
    <row r="37" spans="1:1">
      <c r="A37" s="14" t="s">
        <v>345</v>
      </c>
    </row>
    <row r="38" spans="1:1">
      <c r="A38" s="14" t="s">
        <v>174</v>
      </c>
    </row>
    <row r="39" spans="1:1">
      <c r="A39" s="14" t="s">
        <v>271</v>
      </c>
    </row>
    <row r="40" spans="1:1">
      <c r="A40" s="14" t="s">
        <v>513</v>
      </c>
    </row>
    <row r="41" spans="1:1">
      <c r="A41" s="14" t="s">
        <v>325</v>
      </c>
    </row>
    <row r="42" spans="1:1">
      <c r="A42" s="14" t="s">
        <v>260</v>
      </c>
    </row>
    <row r="43" spans="1:1">
      <c r="A43" s="14" t="s">
        <v>258</v>
      </c>
    </row>
    <row r="44" spans="1:1">
      <c r="A44" s="14" t="s">
        <v>484</v>
      </c>
    </row>
    <row r="45" spans="1:1">
      <c r="A45" s="14" t="s">
        <v>554</v>
      </c>
    </row>
    <row r="46" spans="1:1">
      <c r="A46" s="14" t="s">
        <v>557</v>
      </c>
    </row>
    <row r="47" spans="1:1">
      <c r="A47" s="14" t="s">
        <v>269</v>
      </c>
    </row>
    <row r="48" spans="1:1">
      <c r="A48" s="14" t="s">
        <v>558</v>
      </c>
    </row>
    <row r="49" spans="1:1">
      <c r="A49" s="14" t="s">
        <v>551</v>
      </c>
    </row>
    <row r="50" spans="1:1">
      <c r="A50" s="14" t="s">
        <v>270</v>
      </c>
    </row>
    <row r="51" spans="1:1">
      <c r="A51" s="14" t="s">
        <v>326</v>
      </c>
    </row>
    <row r="52" spans="1:1">
      <c r="A52" s="14" t="s">
        <v>496</v>
      </c>
    </row>
    <row r="53" spans="1:1">
      <c r="A53" s="14" t="s">
        <v>559</v>
      </c>
    </row>
    <row r="54" spans="1:1">
      <c r="A54" s="14" t="s">
        <v>53</v>
      </c>
    </row>
    <row r="55" spans="1:1">
      <c r="A55" s="14" t="s">
        <v>511</v>
      </c>
    </row>
    <row r="56" spans="1:1">
      <c r="A56" s="14" t="s">
        <v>361</v>
      </c>
    </row>
    <row r="57" spans="1:1">
      <c r="A57" s="14" t="s">
        <v>40</v>
      </c>
    </row>
    <row r="58" spans="1:1">
      <c r="A58" s="14" t="s">
        <v>346</v>
      </c>
    </row>
    <row r="59" spans="1:1">
      <c r="A59" s="14" t="s">
        <v>352</v>
      </c>
    </row>
    <row r="60" spans="1:1">
      <c r="A60" s="14" t="s">
        <v>388</v>
      </c>
    </row>
    <row r="61" spans="1:1">
      <c r="A61" s="14" t="s">
        <v>193</v>
      </c>
    </row>
    <row r="62" spans="1:1">
      <c r="A62" s="14" t="s">
        <v>45</v>
      </c>
    </row>
    <row r="63" spans="1:1">
      <c r="A63" s="14" t="s">
        <v>44</v>
      </c>
    </row>
    <row r="64" spans="1:1">
      <c r="A64" s="14" t="s">
        <v>169</v>
      </c>
    </row>
    <row r="65" spans="1:1">
      <c r="A65" s="14" t="s">
        <v>159</v>
      </c>
    </row>
    <row r="66" spans="1:1">
      <c r="A66" s="14" t="s">
        <v>151</v>
      </c>
    </row>
    <row r="67" spans="1:1">
      <c r="A67" s="14" t="s">
        <v>153</v>
      </c>
    </row>
    <row r="68" spans="1:1">
      <c r="A68" s="14" t="s">
        <v>560</v>
      </c>
    </row>
    <row r="69" spans="1:1">
      <c r="A69" s="14" t="s">
        <v>30</v>
      </c>
    </row>
    <row r="70" spans="1:1">
      <c r="A70" s="14" t="s">
        <v>343</v>
      </c>
    </row>
    <row r="71" spans="1:1">
      <c r="A71" s="14" t="s">
        <v>154</v>
      </c>
    </row>
    <row r="72" spans="1:1">
      <c r="A72" s="14" t="s">
        <v>440</v>
      </c>
    </row>
    <row r="73" spans="1:1">
      <c r="A73" s="14" t="s">
        <v>139</v>
      </c>
    </row>
    <row r="74" spans="1:1">
      <c r="A74" s="14" t="s">
        <v>263</v>
      </c>
    </row>
    <row r="75" spans="1:1">
      <c r="A75" s="14" t="s">
        <v>514</v>
      </c>
    </row>
    <row r="76" spans="1:1">
      <c r="A76" s="14" t="s">
        <v>445</v>
      </c>
    </row>
    <row r="77" spans="1:1">
      <c r="A77" s="14" t="s">
        <v>141</v>
      </c>
    </row>
    <row r="78" spans="1:1">
      <c r="A78" s="14" t="s">
        <v>534</v>
      </c>
    </row>
    <row r="79" spans="1:1">
      <c r="A79" s="14" t="s">
        <v>519</v>
      </c>
    </row>
    <row r="80" spans="1:1">
      <c r="A80" s="14" t="s">
        <v>355</v>
      </c>
    </row>
    <row r="81" spans="1:1">
      <c r="A81" s="14" t="s">
        <v>349</v>
      </c>
    </row>
    <row r="82" spans="1:1">
      <c r="A82" s="14" t="s">
        <v>483</v>
      </c>
    </row>
    <row r="83" spans="1:1">
      <c r="A83" s="14" t="s">
        <v>162</v>
      </c>
    </row>
    <row r="84" spans="1:1">
      <c r="A84" s="14" t="s">
        <v>173</v>
      </c>
    </row>
    <row r="85" spans="1:1">
      <c r="A85" s="14" t="s">
        <v>19</v>
      </c>
    </row>
    <row r="86" spans="1:1">
      <c r="A86" s="14" t="s">
        <v>489</v>
      </c>
    </row>
    <row r="87" spans="1:1">
      <c r="A87" s="14" t="s">
        <v>237</v>
      </c>
    </row>
    <row r="88" spans="1:1">
      <c r="A88" s="14" t="s">
        <v>447</v>
      </c>
    </row>
    <row r="89" spans="1:1">
      <c r="A89" s="14" t="s">
        <v>165</v>
      </c>
    </row>
    <row r="90" spans="1:1">
      <c r="A90" s="14" t="s">
        <v>152</v>
      </c>
    </row>
    <row r="91" spans="1:1">
      <c r="A91" s="14" t="s">
        <v>281</v>
      </c>
    </row>
    <row r="92" spans="1:1">
      <c r="A92" s="14" t="s">
        <v>148</v>
      </c>
    </row>
    <row r="93" spans="1:1">
      <c r="A93" s="14" t="s">
        <v>20</v>
      </c>
    </row>
    <row r="94" spans="1:1">
      <c r="A94" s="14" t="s">
        <v>485</v>
      </c>
    </row>
    <row r="95" spans="1:1">
      <c r="A95" s="14" t="s">
        <v>371</v>
      </c>
    </row>
    <row r="96" spans="1:1">
      <c r="A96" s="14" t="s">
        <v>320</v>
      </c>
    </row>
    <row r="97" spans="1:1">
      <c r="A97" s="14" t="s">
        <v>302</v>
      </c>
    </row>
    <row r="98" spans="1:1">
      <c r="A98" s="14" t="s">
        <v>51</v>
      </c>
    </row>
    <row r="99" spans="1:1">
      <c r="A99" s="14" t="s">
        <v>443</v>
      </c>
    </row>
    <row r="100" spans="1:1">
      <c r="A100" s="14" t="s">
        <v>172</v>
      </c>
    </row>
    <row r="101" spans="1:1">
      <c r="A101" s="14" t="s">
        <v>179</v>
      </c>
    </row>
    <row r="102" spans="1:1">
      <c r="A102" s="14" t="s">
        <v>70</v>
      </c>
    </row>
    <row r="103" spans="1:1">
      <c r="A103" s="14" t="s">
        <v>360</v>
      </c>
    </row>
    <row r="104" spans="1:1">
      <c r="A104" s="14" t="s">
        <v>146</v>
      </c>
    </row>
    <row r="105" spans="1:1">
      <c r="A105" s="14" t="s">
        <v>164</v>
      </c>
    </row>
    <row r="106" spans="1:1">
      <c r="A106" s="14" t="s">
        <v>486</v>
      </c>
    </row>
    <row r="107" spans="1:1">
      <c r="A107" s="14" t="s">
        <v>243</v>
      </c>
    </row>
    <row r="108" spans="1:1">
      <c r="A108" s="14" t="s">
        <v>357</v>
      </c>
    </row>
    <row r="109" spans="1:1">
      <c r="A109" s="14" t="s">
        <v>38</v>
      </c>
    </row>
    <row r="110" spans="1:1">
      <c r="A110" s="14" t="s">
        <v>39</v>
      </c>
    </row>
    <row r="111" spans="1:1">
      <c r="A111" s="14" t="s">
        <v>181</v>
      </c>
    </row>
    <row r="112" spans="1:1">
      <c r="A112" s="14" t="s">
        <v>206</v>
      </c>
    </row>
    <row r="113" spans="1:1">
      <c r="A113" s="14" t="s">
        <v>335</v>
      </c>
    </row>
    <row r="114" spans="1:1">
      <c r="A114" s="14" t="s">
        <v>187</v>
      </c>
    </row>
    <row r="115" spans="1:1">
      <c r="A115" s="14" t="s">
        <v>356</v>
      </c>
    </row>
    <row r="116" spans="1:1">
      <c r="A116" s="14" t="s">
        <v>41</v>
      </c>
    </row>
    <row r="117" spans="1:1">
      <c r="A117" s="14" t="s">
        <v>537</v>
      </c>
    </row>
    <row r="118" spans="1:1">
      <c r="A118" s="14" t="s">
        <v>180</v>
      </c>
    </row>
    <row r="119" spans="1:1">
      <c r="A119" s="14" t="s">
        <v>213</v>
      </c>
    </row>
    <row r="120" spans="1:1">
      <c r="A120" s="14" t="s">
        <v>488</v>
      </c>
    </row>
    <row r="121" spans="1:1">
      <c r="A121" s="14" t="s">
        <v>561</v>
      </c>
    </row>
    <row r="122" spans="1:1">
      <c r="A122" s="14" t="s">
        <v>441</v>
      </c>
    </row>
    <row r="123" spans="1:1">
      <c r="A123" s="14" t="s">
        <v>351</v>
      </c>
    </row>
    <row r="124" spans="1:1">
      <c r="A124" s="14" t="s">
        <v>562</v>
      </c>
    </row>
    <row r="125" spans="1:1">
      <c r="A125" s="14" t="s">
        <v>217</v>
      </c>
    </row>
    <row r="126" spans="1:1">
      <c r="A126" s="14" t="s">
        <v>194</v>
      </c>
    </row>
    <row r="127" spans="1:1">
      <c r="A127" s="14" t="s">
        <v>442</v>
      </c>
    </row>
    <row r="128" spans="1:1">
      <c r="A128" s="14" t="s">
        <v>170</v>
      </c>
    </row>
    <row r="129" spans="1:1">
      <c r="A129" s="14" t="s">
        <v>444</v>
      </c>
    </row>
    <row r="130" spans="1:1">
      <c r="A130" s="14" t="s">
        <v>157</v>
      </c>
    </row>
    <row r="131" spans="1:1">
      <c r="A131" s="14" t="s">
        <v>196</v>
      </c>
    </row>
    <row r="132" spans="1:1">
      <c r="A132" s="14" t="s">
        <v>262</v>
      </c>
    </row>
    <row r="133" spans="1:1">
      <c r="A133" s="14" t="s">
        <v>329</v>
      </c>
    </row>
    <row r="134" spans="1:1">
      <c r="A134" s="14" t="s">
        <v>563</v>
      </c>
    </row>
    <row r="135" spans="1:1">
      <c r="A135" s="14" t="s">
        <v>436</v>
      </c>
    </row>
    <row r="136" spans="1:1">
      <c r="A136" s="14" t="s">
        <v>552</v>
      </c>
    </row>
    <row r="137" spans="1:1">
      <c r="A137" s="14" t="s">
        <v>521</v>
      </c>
    </row>
    <row r="138" spans="1:1">
      <c r="A138" s="14" t="s">
        <v>126</v>
      </c>
    </row>
    <row r="139" spans="1:1">
      <c r="A139" s="14" t="s">
        <v>295</v>
      </c>
    </row>
    <row r="140" spans="1:1">
      <c r="A140" s="14" t="s">
        <v>34</v>
      </c>
    </row>
    <row r="141" spans="1:1">
      <c r="A141" s="14" t="s">
        <v>509</v>
      </c>
    </row>
    <row r="142" spans="1:1">
      <c r="A142" s="14" t="s">
        <v>35</v>
      </c>
    </row>
    <row r="143" spans="1:1">
      <c r="A143" s="14" t="s">
        <v>564</v>
      </c>
    </row>
    <row r="144" spans="1:1">
      <c r="A144" s="14" t="s">
        <v>324</v>
      </c>
    </row>
    <row r="145" spans="1:1">
      <c r="A145" s="14" t="s">
        <v>124</v>
      </c>
    </row>
    <row r="146" spans="1:1">
      <c r="A146" s="14" t="s">
        <v>268</v>
      </c>
    </row>
    <row r="147" spans="1:1">
      <c r="A147" s="14" t="s">
        <v>487</v>
      </c>
    </row>
    <row r="148" spans="1:1">
      <c r="A148" s="14" t="s">
        <v>52</v>
      </c>
    </row>
    <row r="149" spans="1:1">
      <c r="A149" s="14" t="s">
        <v>261</v>
      </c>
    </row>
    <row r="150" spans="1:1">
      <c r="A150" s="14" t="s">
        <v>317</v>
      </c>
    </row>
    <row r="151" spans="1:1">
      <c r="A151" s="14" t="s">
        <v>565</v>
      </c>
    </row>
    <row r="152" spans="1:1">
      <c r="A152" s="14" t="s">
        <v>316</v>
      </c>
    </row>
    <row r="153" spans="1:1">
      <c r="A153" s="14" t="s">
        <v>566</v>
      </c>
    </row>
    <row r="154" spans="1:1">
      <c r="A154" s="14" t="s">
        <v>567</v>
      </c>
    </row>
    <row r="155" spans="1:1">
      <c r="A155" s="14" t="s">
        <v>307</v>
      </c>
    </row>
    <row r="156" spans="1:1">
      <c r="A156" s="14" t="s">
        <v>543</v>
      </c>
    </row>
    <row r="157" spans="1:1">
      <c r="A157" s="14" t="s">
        <v>133</v>
      </c>
    </row>
    <row r="158" spans="1:1">
      <c r="A158" s="14" t="s">
        <v>528</v>
      </c>
    </row>
    <row r="159" spans="1:1">
      <c r="A159" s="14" t="s">
        <v>47</v>
      </c>
    </row>
    <row r="160" spans="1:1">
      <c r="A160" s="14" t="s">
        <v>257</v>
      </c>
    </row>
    <row r="161" spans="1:1">
      <c r="A161" s="14" t="s">
        <v>186</v>
      </c>
    </row>
    <row r="162" spans="1:1">
      <c r="A162" s="14" t="s">
        <v>256</v>
      </c>
    </row>
    <row r="163" spans="1:1">
      <c r="A163" s="14" t="s">
        <v>185</v>
      </c>
    </row>
    <row r="164" spans="1:1">
      <c r="A164" s="14" t="s">
        <v>425</v>
      </c>
    </row>
    <row r="165" spans="1:1">
      <c r="A165" s="14" t="s">
        <v>232</v>
      </c>
    </row>
    <row r="166" spans="1:1">
      <c r="A166" s="14" t="s">
        <v>49</v>
      </c>
    </row>
    <row r="167" spans="1:1">
      <c r="A167" s="14" t="s">
        <v>189</v>
      </c>
    </row>
    <row r="168" spans="1:1">
      <c r="A168" s="14" t="s">
        <v>176</v>
      </c>
    </row>
    <row r="169" spans="1:1">
      <c r="A169" s="14" t="s">
        <v>568</v>
      </c>
    </row>
    <row r="170" spans="1:1">
      <c r="A170" s="14" t="s">
        <v>384</v>
      </c>
    </row>
    <row r="171" spans="1:1">
      <c r="A171" s="14" t="s">
        <v>569</v>
      </c>
    </row>
    <row r="172" spans="1:1">
      <c r="A172" s="14" t="s">
        <v>549</v>
      </c>
    </row>
    <row r="173" spans="1:1">
      <c r="A173" s="14" t="s">
        <v>238</v>
      </c>
    </row>
    <row r="174" spans="1:1">
      <c r="A174" s="14" t="s">
        <v>510</v>
      </c>
    </row>
    <row r="175" spans="1:1">
      <c r="A175" s="14" t="s">
        <v>279</v>
      </c>
    </row>
    <row r="176" spans="1:1">
      <c r="A176" s="14" t="s">
        <v>525</v>
      </c>
    </row>
    <row r="177" spans="1:1">
      <c r="A177" s="14" t="s">
        <v>303</v>
      </c>
    </row>
    <row r="178" spans="1:1">
      <c r="A178" s="14" t="s">
        <v>414</v>
      </c>
    </row>
    <row r="179" spans="1:1">
      <c r="A179" s="14" t="s">
        <v>516</v>
      </c>
    </row>
    <row r="180" spans="1:1">
      <c r="A180" s="14" t="s">
        <v>199</v>
      </c>
    </row>
    <row r="181" spans="1:1">
      <c r="A181" s="14" t="s">
        <v>570</v>
      </c>
    </row>
    <row r="182" spans="1:1">
      <c r="A182" s="14" t="s">
        <v>365</v>
      </c>
    </row>
    <row r="183" spans="1:1">
      <c r="A183" s="14" t="s">
        <v>175</v>
      </c>
    </row>
    <row r="184" spans="1:1">
      <c r="A184" s="14" t="s">
        <v>571</v>
      </c>
    </row>
    <row r="185" spans="1:1">
      <c r="A185" s="14" t="s">
        <v>572</v>
      </c>
    </row>
    <row r="186" spans="1:1">
      <c r="A186" s="14" t="s">
        <v>219</v>
      </c>
    </row>
    <row r="187" spans="1:1">
      <c r="A187" s="14" t="s">
        <v>573</v>
      </c>
    </row>
    <row r="188" spans="1:1">
      <c r="A188" s="14" t="s">
        <v>92</v>
      </c>
    </row>
    <row r="189" spans="1:1">
      <c r="A189" s="14" t="s">
        <v>218</v>
      </c>
    </row>
    <row r="190" spans="1:1">
      <c r="A190" s="14" t="s">
        <v>221</v>
      </c>
    </row>
    <row r="191" spans="1:1">
      <c r="A191" s="14" t="s">
        <v>515</v>
      </c>
    </row>
    <row r="192" spans="1:1">
      <c r="A192" s="14" t="s">
        <v>574</v>
      </c>
    </row>
    <row r="193" spans="1:1">
      <c r="A193" s="14" t="s">
        <v>535</v>
      </c>
    </row>
    <row r="194" spans="1:1">
      <c r="A194" s="14" t="s">
        <v>149</v>
      </c>
    </row>
    <row r="195" spans="1:1">
      <c r="A195" s="14" t="s">
        <v>210</v>
      </c>
    </row>
    <row r="196" spans="1:1">
      <c r="A196" s="14" t="s">
        <v>451</v>
      </c>
    </row>
    <row r="197" spans="1:1">
      <c r="A197" s="14" t="s">
        <v>272</v>
      </c>
    </row>
    <row r="198" spans="1:1">
      <c r="A198" s="14" t="s">
        <v>459</v>
      </c>
    </row>
    <row r="199" spans="1:1">
      <c r="A199" s="14" t="s">
        <v>575</v>
      </c>
    </row>
    <row r="200" spans="1:1">
      <c r="A200" s="14" t="s">
        <v>372</v>
      </c>
    </row>
    <row r="201" spans="1:1">
      <c r="A201" s="14" t="s">
        <v>58</v>
      </c>
    </row>
    <row r="202" spans="1:1">
      <c r="A202" s="14" t="s">
        <v>373</v>
      </c>
    </row>
    <row r="203" spans="1:1">
      <c r="A203" s="14" t="s">
        <v>374</v>
      </c>
    </row>
    <row r="204" spans="1:1">
      <c r="A204" s="14" t="s">
        <v>363</v>
      </c>
    </row>
    <row r="205" spans="1:1">
      <c r="A205" s="14" t="s">
        <v>375</v>
      </c>
    </row>
    <row r="206" spans="1:1">
      <c r="A206" s="14" t="s">
        <v>376</v>
      </c>
    </row>
    <row r="207" spans="1:1">
      <c r="A207" s="14" t="s">
        <v>377</v>
      </c>
    </row>
    <row r="208" spans="1:1">
      <c r="A208" s="14" t="s">
        <v>378</v>
      </c>
    </row>
    <row r="209" spans="1:1">
      <c r="A209" s="14" t="s">
        <v>364</v>
      </c>
    </row>
    <row r="210" spans="1:1">
      <c r="A210" s="14" t="s">
        <v>59</v>
      </c>
    </row>
    <row r="211" spans="1:1">
      <c r="A211" s="14" t="s">
        <v>368</v>
      </c>
    </row>
    <row r="212" spans="1:1">
      <c r="A212" s="14" t="s">
        <v>367</v>
      </c>
    </row>
    <row r="213" spans="1:1">
      <c r="A213" s="14" t="s">
        <v>348</v>
      </c>
    </row>
    <row r="214" spans="1:1">
      <c r="A214" s="14" t="s">
        <v>491</v>
      </c>
    </row>
    <row r="215" spans="1:1">
      <c r="A215" s="14" t="s">
        <v>366</v>
      </c>
    </row>
    <row r="216" spans="1:1">
      <c r="A216" s="14" t="s">
        <v>57</v>
      </c>
    </row>
    <row r="217" spans="1:1">
      <c r="A217" s="14" t="s">
        <v>430</v>
      </c>
    </row>
    <row r="218" spans="1:1">
      <c r="A218" s="14" t="s">
        <v>379</v>
      </c>
    </row>
    <row r="219" spans="1:1">
      <c r="A219" s="14" t="s">
        <v>380</v>
      </c>
    </row>
    <row r="220" spans="1:1">
      <c r="A220" s="14" t="s">
        <v>60</v>
      </c>
    </row>
    <row r="221" spans="1:1">
      <c r="A221" s="14" t="s">
        <v>370</v>
      </c>
    </row>
    <row r="222" spans="1:1">
      <c r="A222" s="14" t="s">
        <v>369</v>
      </c>
    </row>
    <row r="223" spans="1:1">
      <c r="A223" s="14" t="s">
        <v>576</v>
      </c>
    </row>
    <row r="224" spans="1:1">
      <c r="A224" s="14" t="s">
        <v>61</v>
      </c>
    </row>
    <row r="225" spans="1:1">
      <c r="A225" s="14" t="s">
        <v>577</v>
      </c>
    </row>
    <row r="226" spans="1:1">
      <c r="A226" s="14" t="s">
        <v>385</v>
      </c>
    </row>
    <row r="227" spans="1:1">
      <c r="A227" s="14" t="s">
        <v>62</v>
      </c>
    </row>
    <row r="228" spans="1:1">
      <c r="A228" s="14" t="s">
        <v>63</v>
      </c>
    </row>
    <row r="229" spans="1:1">
      <c r="A229" s="14" t="s">
        <v>64</v>
      </c>
    </row>
    <row r="230" spans="1:1">
      <c r="A230" s="14" t="s">
        <v>82</v>
      </c>
    </row>
    <row r="231" spans="1:1">
      <c r="A231" s="14" t="s">
        <v>83</v>
      </c>
    </row>
    <row r="232" spans="1:1">
      <c r="A232" s="14" t="s">
        <v>578</v>
      </c>
    </row>
    <row r="233" spans="1:1">
      <c r="A233" s="14" t="s">
        <v>579</v>
      </c>
    </row>
    <row r="234" spans="1:1">
      <c r="A234" s="14" t="s">
        <v>386</v>
      </c>
    </row>
    <row r="235" spans="1:1">
      <c r="A235" s="14" t="s">
        <v>387</v>
      </c>
    </row>
    <row r="236" spans="1:1">
      <c r="A236" s="14" t="s">
        <v>84</v>
      </c>
    </row>
    <row r="237" spans="1:1">
      <c r="A237" s="14" t="s">
        <v>389</v>
      </c>
    </row>
    <row r="238" spans="1:1">
      <c r="A238" s="14" t="s">
        <v>390</v>
      </c>
    </row>
    <row r="239" spans="1:1">
      <c r="A239" s="14" t="s">
        <v>391</v>
      </c>
    </row>
    <row r="240" spans="1:1">
      <c r="A240" s="14" t="s">
        <v>85</v>
      </c>
    </row>
    <row r="241" spans="1:1">
      <c r="A241" s="14" t="s">
        <v>392</v>
      </c>
    </row>
    <row r="242" spans="1:1">
      <c r="A242" s="14" t="s">
        <v>118</v>
      </c>
    </row>
    <row r="243" spans="1:1">
      <c r="A243" s="14" t="s">
        <v>580</v>
      </c>
    </row>
    <row r="244" spans="1:1">
      <c r="A244" s="14" t="s">
        <v>523</v>
      </c>
    </row>
    <row r="245" spans="1:1">
      <c r="A245" s="14" t="s">
        <v>581</v>
      </c>
    </row>
    <row r="246" spans="1:1">
      <c r="A246" s="14" t="s">
        <v>119</v>
      </c>
    </row>
    <row r="247" spans="1:1">
      <c r="A247" s="14" t="s">
        <v>120</v>
      </c>
    </row>
    <row r="248" spans="1:1">
      <c r="A248" s="14" t="s">
        <v>297</v>
      </c>
    </row>
    <row r="249" spans="1:1">
      <c r="A249" s="14" t="s">
        <v>121</v>
      </c>
    </row>
    <row r="250" spans="1:1">
      <c r="A250" s="14" t="s">
        <v>299</v>
      </c>
    </row>
    <row r="251" spans="1:1">
      <c r="A251" s="14" t="s">
        <v>429</v>
      </c>
    </row>
    <row r="252" spans="1:1">
      <c r="A252" s="14" t="s">
        <v>300</v>
      </c>
    </row>
    <row r="253" spans="1:1">
      <c r="A253" s="14" t="s">
        <v>301</v>
      </c>
    </row>
    <row r="254" spans="1:1">
      <c r="A254" s="14" t="s">
        <v>122</v>
      </c>
    </row>
    <row r="255" spans="1:1">
      <c r="A255" s="14" t="s">
        <v>502</v>
      </c>
    </row>
    <row r="256" spans="1:1">
      <c r="A256" s="14" t="s">
        <v>123</v>
      </c>
    </row>
    <row r="257" spans="1:1">
      <c r="A257" s="14" t="s">
        <v>304</v>
      </c>
    </row>
    <row r="258" spans="1:1">
      <c r="A258" s="14" t="s">
        <v>540</v>
      </c>
    </row>
    <row r="259" spans="1:1">
      <c r="A259" s="14" t="s">
        <v>305</v>
      </c>
    </row>
    <row r="260" spans="1:1">
      <c r="A260" s="14" t="s">
        <v>65</v>
      </c>
    </row>
    <row r="261" spans="1:1">
      <c r="A261" s="14" t="s">
        <v>55</v>
      </c>
    </row>
    <row r="262" spans="1:1">
      <c r="A262" s="14" t="s">
        <v>66</v>
      </c>
    </row>
    <row r="263" spans="1:1">
      <c r="A263" s="14" t="s">
        <v>582</v>
      </c>
    </row>
    <row r="264" spans="1:1">
      <c r="A264" s="14" t="s">
        <v>583</v>
      </c>
    </row>
    <row r="265" spans="1:1">
      <c r="A265" s="14" t="s">
        <v>426</v>
      </c>
    </row>
    <row r="266" spans="1:1">
      <c r="A266" s="14" t="s">
        <v>306</v>
      </c>
    </row>
    <row r="267" spans="1:1">
      <c r="A267" s="14" t="s">
        <v>531</v>
      </c>
    </row>
    <row r="268" spans="1:1">
      <c r="A268" s="14" t="s">
        <v>68</v>
      </c>
    </row>
    <row r="269" spans="1:1">
      <c r="A269" s="14" t="s">
        <v>308</v>
      </c>
    </row>
    <row r="270" spans="1:1">
      <c r="A270" s="14" t="s">
        <v>309</v>
      </c>
    </row>
    <row r="271" spans="1:1">
      <c r="A271" s="14" t="s">
        <v>310</v>
      </c>
    </row>
    <row r="272" spans="1:1">
      <c r="A272" s="14" t="s">
        <v>494</v>
      </c>
    </row>
    <row r="273" spans="1:1">
      <c r="A273" s="14" t="s">
        <v>532</v>
      </c>
    </row>
    <row r="274" spans="1:1">
      <c r="A274" s="14" t="s">
        <v>311</v>
      </c>
    </row>
    <row r="275" spans="1:1">
      <c r="A275" s="14" t="s">
        <v>584</v>
      </c>
    </row>
    <row r="276" spans="1:1">
      <c r="A276" s="14" t="s">
        <v>280</v>
      </c>
    </row>
    <row r="277" spans="1:1">
      <c r="A277" s="14" t="s">
        <v>585</v>
      </c>
    </row>
    <row r="278" spans="1:1">
      <c r="A278" s="14" t="s">
        <v>69</v>
      </c>
    </row>
    <row r="279" spans="1:1">
      <c r="A279" s="14" t="s">
        <v>497</v>
      </c>
    </row>
    <row r="280" spans="1:1">
      <c r="A280" s="14" t="s">
        <v>586</v>
      </c>
    </row>
    <row r="281" spans="1:1">
      <c r="A281" s="14" t="s">
        <v>276</v>
      </c>
    </row>
    <row r="282" spans="1:1">
      <c r="A282" s="14" t="s">
        <v>282</v>
      </c>
    </row>
    <row r="283" spans="1:1">
      <c r="A283" s="14" t="s">
        <v>283</v>
      </c>
    </row>
    <row r="284" spans="1:1">
      <c r="A284" s="14" t="s">
        <v>284</v>
      </c>
    </row>
    <row r="285" spans="1:1">
      <c r="A285" s="14" t="s">
        <v>285</v>
      </c>
    </row>
    <row r="286" spans="1:1">
      <c r="A286" s="14" t="s">
        <v>498</v>
      </c>
    </row>
    <row r="287" spans="1:1">
      <c r="A287" s="14" t="s">
        <v>286</v>
      </c>
    </row>
    <row r="288" spans="1:1">
      <c r="A288" s="14" t="s">
        <v>287</v>
      </c>
    </row>
    <row r="289" spans="1:1">
      <c r="A289" s="14" t="s">
        <v>533</v>
      </c>
    </row>
    <row r="290" spans="1:1">
      <c r="A290" s="14" t="s">
        <v>288</v>
      </c>
    </row>
    <row r="291" spans="1:1">
      <c r="A291" s="14" t="s">
        <v>587</v>
      </c>
    </row>
    <row r="292" spans="1:1">
      <c r="A292" s="14" t="s">
        <v>74</v>
      </c>
    </row>
    <row r="293" spans="1:1">
      <c r="A293" s="14" t="s">
        <v>539</v>
      </c>
    </row>
    <row r="294" spans="1:1">
      <c r="A294" s="14" t="s">
        <v>476</v>
      </c>
    </row>
    <row r="295" spans="1:1">
      <c r="A295" s="14" t="s">
        <v>75</v>
      </c>
    </row>
    <row r="296" spans="1:1">
      <c r="A296" s="14" t="s">
        <v>433</v>
      </c>
    </row>
    <row r="297" spans="1:1">
      <c r="A297" s="14" t="s">
        <v>475</v>
      </c>
    </row>
    <row r="298" spans="1:1">
      <c r="A298" s="14" t="s">
        <v>76</v>
      </c>
    </row>
    <row r="299" spans="1:1">
      <c r="A299" s="14" t="s">
        <v>382</v>
      </c>
    </row>
    <row r="300" spans="1:1">
      <c r="A300" s="14" t="s">
        <v>474</v>
      </c>
    </row>
    <row r="301" spans="1:1">
      <c r="A301" s="14" t="s">
        <v>473</v>
      </c>
    </row>
    <row r="302" spans="1:1">
      <c r="A302" s="14" t="s">
        <v>472</v>
      </c>
    </row>
    <row r="303" spans="1:1">
      <c r="A303" s="14" t="s">
        <v>54</v>
      </c>
    </row>
    <row r="304" spans="1:1">
      <c r="A304" s="14" t="s">
        <v>471</v>
      </c>
    </row>
    <row r="305" spans="1:1">
      <c r="A305" s="14" t="s">
        <v>588</v>
      </c>
    </row>
    <row r="306" spans="1:1">
      <c r="A306" s="14" t="s">
        <v>452</v>
      </c>
    </row>
    <row r="307" spans="1:1">
      <c r="A307" s="14" t="s">
        <v>470</v>
      </c>
    </row>
    <row r="308" spans="1:1">
      <c r="A308" s="14" t="s">
        <v>589</v>
      </c>
    </row>
    <row r="309" spans="1:1">
      <c r="A309" s="14" t="s">
        <v>460</v>
      </c>
    </row>
    <row r="310" spans="1:1">
      <c r="A310" s="14" t="s">
        <v>77</v>
      </c>
    </row>
    <row r="311" spans="1:1">
      <c r="A311" s="14" t="s">
        <v>458</v>
      </c>
    </row>
    <row r="312" spans="1:1">
      <c r="A312" s="14" t="s">
        <v>457</v>
      </c>
    </row>
    <row r="313" spans="1:1">
      <c r="A313" s="14" t="s">
        <v>450</v>
      </c>
    </row>
    <row r="314" spans="1:1">
      <c r="A314" s="14" t="s">
        <v>454</v>
      </c>
    </row>
    <row r="315" spans="1:1">
      <c r="A315" s="14" t="s">
        <v>455</v>
      </c>
    </row>
    <row r="316" spans="1:1">
      <c r="A316" s="14" t="s">
        <v>456</v>
      </c>
    </row>
    <row r="317" spans="1:1">
      <c r="A317" s="14" t="s">
        <v>78</v>
      </c>
    </row>
    <row r="318" spans="1:1">
      <c r="A318" s="14" t="s">
        <v>501</v>
      </c>
    </row>
    <row r="319" spans="1:1">
      <c r="A319" s="14" t="s">
        <v>453</v>
      </c>
    </row>
    <row r="320" spans="1:1">
      <c r="A320" s="14" t="s">
        <v>469</v>
      </c>
    </row>
    <row r="321" spans="1:1">
      <c r="A321" s="14" t="s">
        <v>468</v>
      </c>
    </row>
    <row r="322" spans="1:1">
      <c r="A322" s="14" t="s">
        <v>448</v>
      </c>
    </row>
    <row r="323" spans="1:1">
      <c r="A323" s="14" t="s">
        <v>467</v>
      </c>
    </row>
    <row r="324" spans="1:1">
      <c r="A324" s="14" t="s">
        <v>466</v>
      </c>
    </row>
    <row r="325" spans="1:1">
      <c r="A325" s="14" t="s">
        <v>465</v>
      </c>
    </row>
    <row r="326" spans="1:1">
      <c r="A326" s="14" t="s">
        <v>449</v>
      </c>
    </row>
    <row r="327" spans="1:1">
      <c r="A327" s="14" t="s">
        <v>79</v>
      </c>
    </row>
    <row r="328" spans="1:1">
      <c r="A328" s="14" t="s">
        <v>80</v>
      </c>
    </row>
    <row r="329" spans="1:1">
      <c r="A329" s="14" t="s">
        <v>590</v>
      </c>
    </row>
    <row r="330" spans="1:1">
      <c r="A330" s="14" t="s">
        <v>591</v>
      </c>
    </row>
    <row r="331" spans="1:1">
      <c r="A331" s="14" t="s">
        <v>81</v>
      </c>
    </row>
    <row r="332" spans="1:1">
      <c r="A332" s="14" t="s">
        <v>464</v>
      </c>
    </row>
    <row r="333" spans="1:1">
      <c r="A333" s="14" t="s">
        <v>592</v>
      </c>
    </row>
    <row r="334" spans="1:1">
      <c r="A334" s="14" t="s">
        <v>463</v>
      </c>
    </row>
    <row r="335" spans="1:1">
      <c r="A335" s="14" t="s">
        <v>462</v>
      </c>
    </row>
    <row r="336" spans="1:1">
      <c r="A336" s="14" t="s">
        <v>527</v>
      </c>
    </row>
    <row r="337" spans="1:1">
      <c r="A337" s="14" t="s">
        <v>461</v>
      </c>
    </row>
    <row r="338" spans="1:1">
      <c r="A338" s="14" t="s">
        <v>593</v>
      </c>
    </row>
    <row r="339" spans="1:1">
      <c r="A339" s="14" t="s">
        <v>393</v>
      </c>
    </row>
    <row r="340" spans="1:1">
      <c r="A340" s="14" t="s">
        <v>394</v>
      </c>
    </row>
    <row r="341" spans="1:1">
      <c r="A341" s="14" t="s">
        <v>395</v>
      </c>
    </row>
    <row r="342" spans="1:1">
      <c r="A342" s="14" t="s">
        <v>594</v>
      </c>
    </row>
    <row r="343" spans="1:1">
      <c r="A343" s="14" t="s">
        <v>396</v>
      </c>
    </row>
    <row r="344" spans="1:1">
      <c r="A344" s="14" t="s">
        <v>397</v>
      </c>
    </row>
    <row r="345" spans="1:1">
      <c r="A345" s="14" t="s">
        <v>595</v>
      </c>
    </row>
    <row r="346" spans="1:1">
      <c r="A346" s="14" t="s">
        <v>398</v>
      </c>
    </row>
    <row r="347" spans="1:1">
      <c r="A347" s="14" t="s">
        <v>399</v>
      </c>
    </row>
    <row r="348" spans="1:1">
      <c r="A348" s="14" t="s">
        <v>400</v>
      </c>
    </row>
    <row r="349" spans="1:1">
      <c r="A349" s="14" t="s">
        <v>86</v>
      </c>
    </row>
    <row r="350" spans="1:1">
      <c r="A350" s="14" t="s">
        <v>401</v>
      </c>
    </row>
    <row r="351" spans="1:1">
      <c r="A351" s="14" t="s">
        <v>402</v>
      </c>
    </row>
    <row r="352" spans="1:1">
      <c r="A352" s="14" t="s">
        <v>403</v>
      </c>
    </row>
    <row r="353" spans="1:1">
      <c r="A353" s="14" t="s">
        <v>404</v>
      </c>
    </row>
    <row r="354" spans="1:1">
      <c r="A354" s="14" t="s">
        <v>405</v>
      </c>
    </row>
    <row r="355" spans="1:1">
      <c r="A355" s="14" t="s">
        <v>406</v>
      </c>
    </row>
    <row r="356" spans="1:1">
      <c r="A356" s="14" t="s">
        <v>407</v>
      </c>
    </row>
    <row r="357" spans="1:1">
      <c r="A357" s="14" t="s">
        <v>596</v>
      </c>
    </row>
    <row r="358" spans="1:1">
      <c r="A358" s="14" t="s">
        <v>408</v>
      </c>
    </row>
    <row r="359" spans="1:1">
      <c r="A359" s="14" t="s">
        <v>409</v>
      </c>
    </row>
    <row r="360" spans="1:1">
      <c r="A360" s="14" t="s">
        <v>87</v>
      </c>
    </row>
    <row r="361" spans="1:1">
      <c r="A361" s="14" t="s">
        <v>410</v>
      </c>
    </row>
    <row r="362" spans="1:1">
      <c r="A362" s="14" t="s">
        <v>411</v>
      </c>
    </row>
    <row r="363" spans="1:1">
      <c r="A363" s="14" t="s">
        <v>412</v>
      </c>
    </row>
    <row r="364" spans="1:1">
      <c r="A364" s="14" t="s">
        <v>413</v>
      </c>
    </row>
    <row r="365" spans="1:1">
      <c r="A365" s="14" t="s">
        <v>538</v>
      </c>
    </row>
    <row r="366" spans="1:1">
      <c r="A366" s="14" t="s">
        <v>88</v>
      </c>
    </row>
    <row r="367" spans="1:1">
      <c r="A367" s="14" t="s">
        <v>89</v>
      </c>
    </row>
    <row r="368" spans="1:1">
      <c r="A368" s="14" t="s">
        <v>415</v>
      </c>
    </row>
    <row r="369" spans="1:1">
      <c r="A369" s="14" t="s">
        <v>597</v>
      </c>
    </row>
    <row r="370" spans="1:1">
      <c r="A370" s="14" t="s">
        <v>416</v>
      </c>
    </row>
    <row r="371" spans="1:1">
      <c r="A371" s="14" t="s">
        <v>417</v>
      </c>
    </row>
    <row r="372" spans="1:1">
      <c r="A372" s="14" t="s">
        <v>418</v>
      </c>
    </row>
    <row r="373" spans="1:1">
      <c r="A373" s="14" t="s">
        <v>495</v>
      </c>
    </row>
    <row r="374" spans="1:1">
      <c r="A374" s="14" t="s">
        <v>419</v>
      </c>
    </row>
    <row r="375" spans="1:1">
      <c r="A375" s="14" t="s">
        <v>90</v>
      </c>
    </row>
    <row r="376" spans="1:1">
      <c r="A376" s="14" t="s">
        <v>421</v>
      </c>
    </row>
    <row r="377" spans="1:1">
      <c r="A377" s="14" t="s">
        <v>422</v>
      </c>
    </row>
    <row r="378" spans="1:1">
      <c r="A378" s="14" t="s">
        <v>423</v>
      </c>
    </row>
    <row r="379" spans="1:1">
      <c r="A379" s="14" t="s">
        <v>424</v>
      </c>
    </row>
    <row r="380" spans="1:1">
      <c r="A380" s="14" t="s">
        <v>71</v>
      </c>
    </row>
    <row r="381" spans="1:1">
      <c r="A381" s="14" t="s">
        <v>381</v>
      </c>
    </row>
    <row r="382" spans="1:1">
      <c r="A382" s="14" t="s">
        <v>72</v>
      </c>
    </row>
    <row r="383" spans="1:1">
      <c r="A383" s="14" t="s">
        <v>478</v>
      </c>
    </row>
    <row r="384" spans="1:1">
      <c r="A384" s="14" t="s">
        <v>479</v>
      </c>
    </row>
    <row r="385" spans="1:1">
      <c r="A385" s="14" t="s">
        <v>73</v>
      </c>
    </row>
    <row r="386" spans="1:1">
      <c r="A386" s="14" t="s">
        <v>477</v>
      </c>
    </row>
    <row r="387" spans="1:1">
      <c r="A387" s="14" t="s">
        <v>168</v>
      </c>
    </row>
    <row r="388" spans="1:1">
      <c r="A388" s="14" t="s">
        <v>101</v>
      </c>
    </row>
    <row r="389" spans="1:1">
      <c r="A389" s="14" t="s">
        <v>182</v>
      </c>
    </row>
    <row r="390" spans="1:1">
      <c r="A390" s="14" t="s">
        <v>432</v>
      </c>
    </row>
    <row r="391" spans="1:1">
      <c r="A391" s="14" t="s">
        <v>207</v>
      </c>
    </row>
    <row r="392" spans="1:1">
      <c r="A392" s="14" t="s">
        <v>102</v>
      </c>
    </row>
    <row r="393" spans="1:1">
      <c r="A393" s="14" t="s">
        <v>103</v>
      </c>
    </row>
    <row r="394" spans="1:1">
      <c r="A394" s="14" t="s">
        <v>298</v>
      </c>
    </row>
    <row r="395" spans="1:1">
      <c r="A395" s="14" t="s">
        <v>188</v>
      </c>
    </row>
    <row r="396" spans="1:1">
      <c r="A396" s="14" t="s">
        <v>598</v>
      </c>
    </row>
    <row r="397" spans="1:1">
      <c r="A397" s="14" t="s">
        <v>512</v>
      </c>
    </row>
    <row r="398" spans="1:1">
      <c r="A398" s="14" t="s">
        <v>208</v>
      </c>
    </row>
    <row r="399" spans="1:1">
      <c r="A399" s="14" t="s">
        <v>104</v>
      </c>
    </row>
    <row r="400" spans="1:1">
      <c r="A400" s="14" t="s">
        <v>209</v>
      </c>
    </row>
    <row r="401" spans="1:1">
      <c r="A401" s="14" t="s">
        <v>599</v>
      </c>
    </row>
    <row r="402" spans="1:1">
      <c r="A402" s="14" t="s">
        <v>211</v>
      </c>
    </row>
    <row r="403" spans="1:1">
      <c r="A403" s="14" t="s">
        <v>241</v>
      </c>
    </row>
    <row r="404" spans="1:1">
      <c r="A404" s="14" t="s">
        <v>242</v>
      </c>
    </row>
    <row r="405" spans="1:1">
      <c r="A405" s="14" t="s">
        <v>184</v>
      </c>
    </row>
    <row r="406" spans="1:1">
      <c r="A406" s="14" t="s">
        <v>105</v>
      </c>
    </row>
    <row r="407" spans="1:1">
      <c r="A407" s="14" t="s">
        <v>600</v>
      </c>
    </row>
    <row r="408" spans="1:1">
      <c r="A408" s="14" t="s">
        <v>106</v>
      </c>
    </row>
    <row r="409" spans="1:1">
      <c r="A409" s="14" t="s">
        <v>244</v>
      </c>
    </row>
    <row r="410" spans="1:1">
      <c r="A410" s="14" t="s">
        <v>245</v>
      </c>
    </row>
    <row r="411" spans="1:1">
      <c r="A411" s="14" t="s">
        <v>107</v>
      </c>
    </row>
    <row r="412" spans="1:1">
      <c r="A412" s="14" t="s">
        <v>246</v>
      </c>
    </row>
    <row r="413" spans="1:1">
      <c r="A413" s="14" t="s">
        <v>601</v>
      </c>
    </row>
    <row r="414" spans="1:1">
      <c r="A414" s="14" t="s">
        <v>247</v>
      </c>
    </row>
    <row r="415" spans="1:1">
      <c r="A415" s="14" t="s">
        <v>248</v>
      </c>
    </row>
    <row r="416" spans="1:1">
      <c r="A416" s="14" t="s">
        <v>108</v>
      </c>
    </row>
    <row r="417" spans="1:1">
      <c r="A417" s="14" t="s">
        <v>109</v>
      </c>
    </row>
    <row r="418" spans="1:1">
      <c r="A418" s="14" t="s">
        <v>439</v>
      </c>
    </row>
    <row r="419" spans="1:1">
      <c r="A419" s="14" t="s">
        <v>490</v>
      </c>
    </row>
    <row r="420" spans="1:1">
      <c r="A420" s="14" t="s">
        <v>249</v>
      </c>
    </row>
    <row r="421" spans="1:1">
      <c r="A421" s="14" t="s">
        <v>145</v>
      </c>
    </row>
    <row r="422" spans="1:1">
      <c r="A422" s="14" t="s">
        <v>431</v>
      </c>
    </row>
    <row r="423" spans="1:1">
      <c r="A423" s="14" t="s">
        <v>250</v>
      </c>
    </row>
    <row r="424" spans="1:1">
      <c r="A424" s="14" t="s">
        <v>251</v>
      </c>
    </row>
    <row r="425" spans="1:1">
      <c r="A425" s="14" t="s">
        <v>536</v>
      </c>
    </row>
    <row r="426" spans="1:1">
      <c r="A426" s="14" t="s">
        <v>110</v>
      </c>
    </row>
    <row r="427" spans="1:1">
      <c r="A427" s="14" t="s">
        <v>252</v>
      </c>
    </row>
    <row r="428" spans="1:1">
      <c r="A428" s="14" t="s">
        <v>503</v>
      </c>
    </row>
    <row r="429" spans="1:1">
      <c r="A429" s="14" t="s">
        <v>253</v>
      </c>
    </row>
    <row r="430" spans="1:1">
      <c r="A430" s="14" t="s">
        <v>254</v>
      </c>
    </row>
    <row r="431" spans="1:1">
      <c r="A431" s="14" t="s">
        <v>255</v>
      </c>
    </row>
    <row r="432" spans="1:1">
      <c r="A432" s="14" t="s">
        <v>602</v>
      </c>
    </row>
    <row r="433" spans="1:1">
      <c r="A433" s="14" t="s">
        <v>111</v>
      </c>
    </row>
    <row r="434" spans="1:1">
      <c r="A434" s="14" t="s">
        <v>37</v>
      </c>
    </row>
    <row r="435" spans="1:1">
      <c r="A435" s="14" t="s">
        <v>231</v>
      </c>
    </row>
    <row r="436" spans="1:1">
      <c r="A436" s="14" t="s">
        <v>230</v>
      </c>
    </row>
    <row r="437" spans="1:1">
      <c r="A437" s="14" t="s">
        <v>143</v>
      </c>
    </row>
    <row r="438" spans="1:1">
      <c r="A438" s="14" t="s">
        <v>233</v>
      </c>
    </row>
    <row r="439" spans="1:1">
      <c r="A439" s="14" t="s">
        <v>178</v>
      </c>
    </row>
    <row r="440" spans="1:1">
      <c r="A440" s="14" t="s">
        <v>438</v>
      </c>
    </row>
    <row r="441" spans="1:1">
      <c r="A441" s="14" t="s">
        <v>234</v>
      </c>
    </row>
    <row r="442" spans="1:1">
      <c r="A442" s="14" t="s">
        <v>546</v>
      </c>
    </row>
    <row r="443" spans="1:1">
      <c r="A443" s="14" t="s">
        <v>235</v>
      </c>
    </row>
    <row r="444" spans="1:1">
      <c r="A444" s="14" t="s">
        <v>229</v>
      </c>
    </row>
    <row r="445" spans="1:1">
      <c r="A445" s="14" t="s">
        <v>228</v>
      </c>
    </row>
    <row r="446" spans="1:1">
      <c r="A446" s="14" t="s">
        <v>227</v>
      </c>
    </row>
    <row r="447" spans="1:1">
      <c r="A447" s="14" t="s">
        <v>236</v>
      </c>
    </row>
    <row r="448" spans="1:1">
      <c r="A448" s="14" t="s">
        <v>226</v>
      </c>
    </row>
    <row r="449" spans="1:1">
      <c r="A449" s="14" t="s">
        <v>545</v>
      </c>
    </row>
    <row r="450" spans="1:1">
      <c r="A450" s="14" t="s">
        <v>225</v>
      </c>
    </row>
    <row r="451" spans="1:1">
      <c r="A451" s="14" t="s">
        <v>603</v>
      </c>
    </row>
    <row r="452" spans="1:1">
      <c r="A452" s="14" t="s">
        <v>239</v>
      </c>
    </row>
    <row r="453" spans="1:1">
      <c r="A453" s="14" t="s">
        <v>240</v>
      </c>
    </row>
    <row r="454" spans="1:1">
      <c r="A454" s="14" t="s">
        <v>224</v>
      </c>
    </row>
    <row r="455" spans="1:1">
      <c r="A455" s="14" t="s">
        <v>190</v>
      </c>
    </row>
    <row r="456" spans="1:1">
      <c r="A456" s="14" t="s">
        <v>191</v>
      </c>
    </row>
    <row r="457" spans="1:1">
      <c r="A457" s="14" t="s">
        <v>223</v>
      </c>
    </row>
    <row r="458" spans="1:1">
      <c r="A458" s="14" t="s">
        <v>192</v>
      </c>
    </row>
    <row r="459" spans="1:1">
      <c r="A459" s="14" t="s">
        <v>553</v>
      </c>
    </row>
    <row r="460" spans="1:1">
      <c r="A460" s="14" t="s">
        <v>222</v>
      </c>
    </row>
    <row r="461" spans="1:1">
      <c r="A461" s="14" t="s">
        <v>195</v>
      </c>
    </row>
    <row r="462" spans="1:1">
      <c r="A462" s="14" t="s">
        <v>500</v>
      </c>
    </row>
    <row r="463" spans="1:1">
      <c r="A463" s="14" t="s">
        <v>220</v>
      </c>
    </row>
    <row r="464" spans="1:1">
      <c r="A464" s="14" t="s">
        <v>158</v>
      </c>
    </row>
    <row r="465" spans="1:1">
      <c r="A465" s="14" t="s">
        <v>197</v>
      </c>
    </row>
    <row r="466" spans="1:1">
      <c r="A466" s="14" t="s">
        <v>522</v>
      </c>
    </row>
    <row r="467" spans="1:1">
      <c r="A467" s="14" t="s">
        <v>216</v>
      </c>
    </row>
    <row r="468" spans="1:1">
      <c r="A468" s="14" t="s">
        <v>198</v>
      </c>
    </row>
    <row r="469" spans="1:1">
      <c r="A469" s="14" t="s">
        <v>160</v>
      </c>
    </row>
    <row r="470" spans="1:1">
      <c r="A470" s="14" t="s">
        <v>214</v>
      </c>
    </row>
    <row r="471" spans="1:1">
      <c r="A471" s="14" t="s">
        <v>499</v>
      </c>
    </row>
    <row r="472" spans="1:1">
      <c r="A472" s="14" t="s">
        <v>212</v>
      </c>
    </row>
    <row r="473" spans="1:1">
      <c r="A473" s="14" t="s">
        <v>200</v>
      </c>
    </row>
    <row r="474" spans="1:1">
      <c r="A474" s="14" t="s">
        <v>201</v>
      </c>
    </row>
    <row r="475" spans="1:1">
      <c r="A475" s="14" t="s">
        <v>215</v>
      </c>
    </row>
    <row r="476" spans="1:1">
      <c r="A476" s="14" t="s">
        <v>202</v>
      </c>
    </row>
    <row r="477" spans="1:1">
      <c r="A477" s="14" t="s">
        <v>203</v>
      </c>
    </row>
    <row r="478" spans="1:1">
      <c r="A478" s="14" t="s">
        <v>204</v>
      </c>
    </row>
    <row r="479" spans="1:1">
      <c r="A479" s="14" t="s">
        <v>171</v>
      </c>
    </row>
    <row r="480" spans="1:1">
      <c r="A480" s="14" t="s">
        <v>205</v>
      </c>
    </row>
    <row r="481" spans="1:1">
      <c r="A481" s="14" t="s">
        <v>604</v>
      </c>
    </row>
    <row r="482" spans="1:1">
      <c r="A482" s="14" t="s">
        <v>605</v>
      </c>
    </row>
    <row r="483" spans="1:1">
      <c r="A483" s="14" t="s">
        <v>100</v>
      </c>
    </row>
    <row r="484" spans="1:1">
      <c r="A484" s="14" t="s">
        <v>125</v>
      </c>
    </row>
    <row r="485" spans="1:1">
      <c r="A485" s="14" t="s">
        <v>548</v>
      </c>
    </row>
    <row r="486" spans="1:1">
      <c r="A486" s="14" t="s">
        <v>127</v>
      </c>
    </row>
    <row r="487" spans="1:1">
      <c r="A487" s="14" t="s">
        <v>606</v>
      </c>
    </row>
    <row r="488" spans="1:1">
      <c r="A488" s="14" t="s">
        <v>128</v>
      </c>
    </row>
    <row r="489" spans="1:1">
      <c r="A489" s="14" t="s">
        <v>526</v>
      </c>
    </row>
    <row r="490" spans="1:1">
      <c r="A490" s="14" t="s">
        <v>327</v>
      </c>
    </row>
    <row r="491" spans="1:1">
      <c r="A491" s="14" t="s">
        <v>274</v>
      </c>
    </row>
    <row r="492" spans="1:1">
      <c r="A492" s="14" t="s">
        <v>129</v>
      </c>
    </row>
    <row r="493" spans="1:1">
      <c r="A493" s="14" t="s">
        <v>328</v>
      </c>
    </row>
    <row r="494" spans="1:1">
      <c r="A494" s="14" t="s">
        <v>130</v>
      </c>
    </row>
    <row r="495" spans="1:1">
      <c r="A495" s="14" t="s">
        <v>330</v>
      </c>
    </row>
    <row r="496" spans="1:1">
      <c r="A496" s="14" t="s">
        <v>331</v>
      </c>
    </row>
    <row r="497" spans="1:1">
      <c r="A497" s="14" t="s">
        <v>607</v>
      </c>
    </row>
    <row r="498" spans="1:1">
      <c r="A498" s="14" t="s">
        <v>131</v>
      </c>
    </row>
    <row r="499" spans="1:1">
      <c r="A499" s="14" t="s">
        <v>608</v>
      </c>
    </row>
    <row r="500" spans="1:1">
      <c r="A500" s="14" t="s">
        <v>132</v>
      </c>
    </row>
    <row r="501" spans="1:1">
      <c r="A501" s="14" t="s">
        <v>332</v>
      </c>
    </row>
    <row r="502" spans="1:1">
      <c r="A502" s="14" t="s">
        <v>333</v>
      </c>
    </row>
    <row r="503" spans="1:1">
      <c r="A503" s="14" t="s">
        <v>334</v>
      </c>
    </row>
    <row r="504" spans="1:1">
      <c r="A504" s="14" t="s">
        <v>609</v>
      </c>
    </row>
    <row r="505" spans="1:1">
      <c r="A505" s="14" t="s">
        <v>336</v>
      </c>
    </row>
    <row r="506" spans="1:1">
      <c r="A506" s="14" t="s">
        <v>437</v>
      </c>
    </row>
    <row r="507" spans="1:1">
      <c r="A507" s="14" t="s">
        <v>610</v>
      </c>
    </row>
    <row r="508" spans="1:1">
      <c r="A508" s="14" t="s">
        <v>482</v>
      </c>
    </row>
    <row r="509" spans="1:1">
      <c r="A509" s="14" t="s">
        <v>134</v>
      </c>
    </row>
    <row r="510" spans="1:1">
      <c r="A510" s="14" t="s">
        <v>529</v>
      </c>
    </row>
    <row r="511" spans="1:1">
      <c r="A511" s="14" t="s">
        <v>289</v>
      </c>
    </row>
    <row r="512" spans="1:1">
      <c r="A512" s="14" t="s">
        <v>611</v>
      </c>
    </row>
    <row r="513" spans="1:1">
      <c r="A513" s="14" t="s">
        <v>427</v>
      </c>
    </row>
    <row r="514" spans="1:1">
      <c r="A514" s="14" t="s">
        <v>290</v>
      </c>
    </row>
    <row r="515" spans="1:1">
      <c r="A515" s="14" t="s">
        <v>275</v>
      </c>
    </row>
    <row r="516" spans="1:1">
      <c r="A516" s="14" t="s">
        <v>428</v>
      </c>
    </row>
    <row r="517" spans="1:1">
      <c r="A517" s="14" t="s">
        <v>291</v>
      </c>
    </row>
    <row r="518" spans="1:1">
      <c r="A518" s="14" t="s">
        <v>292</v>
      </c>
    </row>
    <row r="519" spans="1:1">
      <c r="A519" s="14" t="s">
        <v>293</v>
      </c>
    </row>
    <row r="520" spans="1:1">
      <c r="A520" s="14" t="s">
        <v>135</v>
      </c>
    </row>
    <row r="521" spans="1:1">
      <c r="A521" s="14" t="s">
        <v>136</v>
      </c>
    </row>
    <row r="522" spans="1:1">
      <c r="A522" s="14" t="s">
        <v>294</v>
      </c>
    </row>
    <row r="523" spans="1:1">
      <c r="A523" s="14" t="s">
        <v>612</v>
      </c>
    </row>
    <row r="524" spans="1:1">
      <c r="A524" s="14" t="s">
        <v>115</v>
      </c>
    </row>
    <row r="525" spans="1:1">
      <c r="A525" s="14" t="s">
        <v>613</v>
      </c>
    </row>
    <row r="526" spans="1:1">
      <c r="A526" s="14" t="s">
        <v>530</v>
      </c>
    </row>
    <row r="527" spans="1:1">
      <c r="A527" s="14" t="s">
        <v>116</v>
      </c>
    </row>
    <row r="528" spans="1:1">
      <c r="A528" s="14" t="s">
        <v>296</v>
      </c>
    </row>
    <row r="529" spans="1:1">
      <c r="A529" s="14" t="s">
        <v>524</v>
      </c>
    </row>
    <row r="530" spans="1:1">
      <c r="A530" s="14" t="s">
        <v>117</v>
      </c>
    </row>
    <row r="531" spans="1:1">
      <c r="A531" s="14" t="s">
        <v>50</v>
      </c>
    </row>
    <row r="532" spans="1:1">
      <c r="A532" s="14" t="s">
        <v>541</v>
      </c>
    </row>
    <row r="533" spans="1:1">
      <c r="A533" s="14" t="s">
        <v>337</v>
      </c>
    </row>
    <row r="534" spans="1:1">
      <c r="A534" s="14" t="s">
        <v>504</v>
      </c>
    </row>
    <row r="535" spans="1:1">
      <c r="A535" s="14" t="s">
        <v>338</v>
      </c>
    </row>
    <row r="536" spans="1:1">
      <c r="A536" s="14" t="s">
        <v>614</v>
      </c>
    </row>
    <row r="537" spans="1:1">
      <c r="A537" s="14" t="s">
        <v>339</v>
      </c>
    </row>
    <row r="538" spans="1:1">
      <c r="A538" s="14" t="s">
        <v>340</v>
      </c>
    </row>
    <row r="539" spans="1:1">
      <c r="A539" s="14" t="s">
        <v>341</v>
      </c>
    </row>
    <row r="540" spans="1:1">
      <c r="A540" s="14" t="s">
        <v>505</v>
      </c>
    </row>
    <row r="541" spans="1:1">
      <c r="A541" s="14" t="s">
        <v>544</v>
      </c>
    </row>
    <row r="542" spans="1:1">
      <c r="A542" s="14" t="s">
        <v>112</v>
      </c>
    </row>
    <row r="543" spans="1:1">
      <c r="A543" s="14" t="s">
        <v>113</v>
      </c>
    </row>
    <row r="544" spans="1:1">
      <c r="A544" s="14" t="s">
        <v>434</v>
      </c>
    </row>
    <row r="545" spans="1:1">
      <c r="A545" s="14" t="s">
        <v>506</v>
      </c>
    </row>
    <row r="546" spans="1:1">
      <c r="A546" s="14" t="s">
        <v>342</v>
      </c>
    </row>
    <row r="547" spans="1:1">
      <c r="A547" s="14" t="s">
        <v>615</v>
      </c>
    </row>
    <row r="548" spans="1:1">
      <c r="A548" s="14" t="s">
        <v>312</v>
      </c>
    </row>
    <row r="549" spans="1:1">
      <c r="A549" s="14" t="s">
        <v>313</v>
      </c>
    </row>
    <row r="550" spans="1:1">
      <c r="A550" s="14" t="s">
        <v>314</v>
      </c>
    </row>
    <row r="551" spans="1:1">
      <c r="A551" s="14" t="s">
        <v>616</v>
      </c>
    </row>
    <row r="552" spans="1:1">
      <c r="A552" s="14" t="s">
        <v>481</v>
      </c>
    </row>
    <row r="553" spans="1:1">
      <c r="A553" s="14" t="s">
        <v>315</v>
      </c>
    </row>
    <row r="554" spans="1:1">
      <c r="A554" s="14" t="s">
        <v>542</v>
      </c>
    </row>
    <row r="555" spans="1:1">
      <c r="A555" s="14" t="s">
        <v>114</v>
      </c>
    </row>
    <row r="556" spans="1:1">
      <c r="A556" s="14" t="s">
        <v>435</v>
      </c>
    </row>
    <row r="557" spans="1:1">
      <c r="A557" s="14" t="s">
        <v>91</v>
      </c>
    </row>
    <row r="558" spans="1:1">
      <c r="A558" s="14" t="s">
        <v>93</v>
      </c>
    </row>
    <row r="559" spans="1:1">
      <c r="A559" s="14" t="s">
        <v>617</v>
      </c>
    </row>
    <row r="560" spans="1:1">
      <c r="A560" s="14" t="s">
        <v>507</v>
      </c>
    </row>
    <row r="561" spans="1:1">
      <c r="A561" s="14" t="s">
        <v>94</v>
      </c>
    </row>
    <row r="562" spans="1:1">
      <c r="A562" s="14" t="s">
        <v>618</v>
      </c>
    </row>
    <row r="563" spans="1:1">
      <c r="A563" s="14" t="s">
        <v>318</v>
      </c>
    </row>
    <row r="564" spans="1:1">
      <c r="A564" s="14" t="s">
        <v>95</v>
      </c>
    </row>
    <row r="565" spans="1:1">
      <c r="A565" s="14" t="s">
        <v>319</v>
      </c>
    </row>
    <row r="566" spans="1:1">
      <c r="A566" s="14" t="s">
        <v>96</v>
      </c>
    </row>
    <row r="567" spans="1:1">
      <c r="A567" s="14" t="s">
        <v>493</v>
      </c>
    </row>
    <row r="568" spans="1:1">
      <c r="A568" s="14" t="s">
        <v>97</v>
      </c>
    </row>
    <row r="569" spans="1:1">
      <c r="A569" s="14" t="s">
        <v>508</v>
      </c>
    </row>
    <row r="570" spans="1:1">
      <c r="A570" s="14" t="s">
        <v>321</v>
      </c>
    </row>
    <row r="571" spans="1:1">
      <c r="A571" s="14" t="s">
        <v>98</v>
      </c>
    </row>
    <row r="572" spans="1:1">
      <c r="A572" s="14" t="s">
        <v>322</v>
      </c>
    </row>
    <row r="573" spans="1:1">
      <c r="A573" s="14" t="s">
        <v>492</v>
      </c>
    </row>
    <row r="574" spans="1:1">
      <c r="A574" s="14" t="s">
        <v>264</v>
      </c>
    </row>
    <row r="575" spans="1:1">
      <c r="A575" s="14" t="s">
        <v>323</v>
      </c>
    </row>
    <row r="576" spans="1:1">
      <c r="A576" s="14" t="s">
        <v>278</v>
      </c>
    </row>
    <row r="577" spans="1:1">
      <c r="A577" s="14" t="s">
        <v>619</v>
      </c>
    </row>
    <row r="578" spans="1:1">
      <c r="A578" s="14" t="s">
        <v>273</v>
      </c>
    </row>
    <row r="579" spans="1:1">
      <c r="A579" s="14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联盟DKP榜单</vt:lpstr>
      <vt:lpstr>YY统计</vt:lpstr>
      <vt:lpstr>掠夺</vt:lpstr>
      <vt:lpstr>帮战总榜</vt:lpstr>
      <vt:lpstr>逐梦-箱子</vt:lpstr>
      <vt:lpstr>如梦-箱子</vt:lpstr>
      <vt:lpstr>若梦-箱子</vt:lpstr>
      <vt:lpstr>何梦-箱子</vt:lpstr>
      <vt:lpstr>扣分</vt:lpstr>
      <vt:lpstr>结余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2016-11-14T04:53:25Z</dcterms:modified>
</cp:coreProperties>
</file>