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 activeTab="2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1" l="1"/>
  <c r="C2" i="11"/>
  <c r="D2" i="11"/>
  <c r="B7" i="11"/>
  <c r="C7" i="11"/>
  <c r="D7" i="11"/>
  <c r="B8" i="11"/>
  <c r="C8" i="11"/>
  <c r="D8" i="11"/>
  <c r="B11" i="11"/>
  <c r="C11" i="11"/>
  <c r="D11" i="11"/>
  <c r="B9" i="11"/>
  <c r="C9" i="11"/>
  <c r="D9" i="11"/>
  <c r="B17" i="11"/>
  <c r="C17" i="11"/>
  <c r="D17" i="11"/>
  <c r="B4" i="11"/>
  <c r="C4" i="11"/>
  <c r="D4" i="11"/>
  <c r="B13" i="11"/>
  <c r="C13" i="11"/>
  <c r="D13" i="11"/>
  <c r="B5" i="11"/>
  <c r="C5" i="11"/>
  <c r="D5" i="11"/>
  <c r="B14" i="11"/>
  <c r="C14" i="11"/>
  <c r="D14" i="11"/>
  <c r="B6" i="11"/>
  <c r="C6" i="11"/>
  <c r="D6" i="11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2" i="23"/>
  <c r="A3" i="23"/>
  <c r="A4" i="23"/>
  <c r="A5" i="23"/>
  <c r="A6" i="23"/>
  <c r="A1" i="23"/>
  <c r="E8" i="11" l="1"/>
  <c r="F8" i="11" s="1"/>
  <c r="E6" i="11"/>
  <c r="F6" i="11" s="1"/>
  <c r="E5" i="11"/>
  <c r="F5" i="11" s="1"/>
  <c r="E11" i="11"/>
  <c r="F11" i="11" s="1"/>
  <c r="E17" i="11"/>
  <c r="F17" i="11" s="1"/>
  <c r="E9" i="11"/>
  <c r="F9" i="11" s="1"/>
  <c r="E14" i="11"/>
  <c r="F14" i="11" s="1"/>
  <c r="E4" i="11"/>
  <c r="F4" i="11" s="1"/>
  <c r="E7" i="11"/>
  <c r="F7" i="11" s="1"/>
  <c r="E13" i="11"/>
  <c r="F13" i="11" s="1"/>
  <c r="E2" i="11"/>
  <c r="F2" i="11" s="1"/>
  <c r="B3" i="14"/>
  <c r="B4" i="14"/>
  <c r="B5" i="14"/>
  <c r="B6" i="14"/>
  <c r="B7" i="14"/>
  <c r="B8" i="14"/>
  <c r="B10" i="14"/>
  <c r="B12" i="14"/>
  <c r="B9" i="14"/>
  <c r="B11" i="14"/>
  <c r="B13" i="14"/>
  <c r="B14" i="14"/>
  <c r="B15" i="14"/>
  <c r="B16" i="14"/>
  <c r="B18" i="14"/>
  <c r="B19" i="14"/>
  <c r="B20" i="14"/>
  <c r="B17" i="14"/>
  <c r="B21" i="14"/>
  <c r="B22" i="14"/>
  <c r="B23" i="14"/>
  <c r="B24" i="14"/>
  <c r="B25" i="14"/>
  <c r="B26" i="14"/>
  <c r="B27" i="14"/>
  <c r="B30" i="14"/>
  <c r="B28" i="14"/>
  <c r="B31" i="14"/>
  <c r="B29" i="14"/>
  <c r="B32" i="14"/>
  <c r="B34" i="14"/>
  <c r="B35" i="14"/>
  <c r="B33" i="14"/>
  <c r="B36" i="14"/>
  <c r="B37" i="14"/>
  <c r="B38" i="14"/>
  <c r="B39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40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41" i="14"/>
  <c r="B106" i="14"/>
  <c r="B107" i="14"/>
  <c r="B108" i="14"/>
  <c r="B109" i="14"/>
  <c r="B110" i="14"/>
  <c r="B42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43" i="14"/>
  <c r="B134" i="14"/>
  <c r="B135" i="14"/>
  <c r="B136" i="14"/>
  <c r="B137" i="14"/>
  <c r="B138" i="14"/>
  <c r="B139" i="14"/>
  <c r="B140" i="14"/>
  <c r="B141" i="14"/>
  <c r="B2" i="14"/>
  <c r="B36" i="13"/>
  <c r="C36" i="13"/>
  <c r="D36" i="13"/>
  <c r="B73" i="13"/>
  <c r="C73" i="13"/>
  <c r="D73" i="13"/>
  <c r="B74" i="13"/>
  <c r="C74" i="13"/>
  <c r="D74" i="13"/>
  <c r="B75" i="13"/>
  <c r="C75" i="13"/>
  <c r="D75" i="13"/>
  <c r="B76" i="13"/>
  <c r="C76" i="13"/>
  <c r="D76" i="13"/>
  <c r="B77" i="13"/>
  <c r="E77" i="13" s="1"/>
  <c r="F77" i="13" s="1"/>
  <c r="G77" i="13" s="1"/>
  <c r="B499" i="23" s="1"/>
  <c r="C77" i="13"/>
  <c r="D77" i="13"/>
  <c r="B78" i="13"/>
  <c r="C78" i="13"/>
  <c r="D78" i="13"/>
  <c r="B79" i="13"/>
  <c r="C79" i="13"/>
  <c r="D79" i="13"/>
  <c r="B80" i="13"/>
  <c r="C80" i="13"/>
  <c r="D80" i="13"/>
  <c r="B81" i="13"/>
  <c r="C81" i="13"/>
  <c r="D81" i="13"/>
  <c r="B37" i="13"/>
  <c r="C37" i="13"/>
  <c r="D37" i="13"/>
  <c r="B82" i="13"/>
  <c r="C82" i="13"/>
  <c r="D82" i="13"/>
  <c r="B83" i="13"/>
  <c r="C83" i="13"/>
  <c r="D83" i="13"/>
  <c r="B38" i="13"/>
  <c r="C38" i="13"/>
  <c r="D38" i="13"/>
  <c r="B84" i="13"/>
  <c r="C84" i="13"/>
  <c r="D84" i="13"/>
  <c r="B85" i="13"/>
  <c r="C85" i="13"/>
  <c r="D85" i="13"/>
  <c r="B86" i="13"/>
  <c r="C86" i="13"/>
  <c r="D86" i="13"/>
  <c r="B87" i="13"/>
  <c r="C87" i="13"/>
  <c r="D87" i="13"/>
  <c r="B88" i="13"/>
  <c r="C88" i="13"/>
  <c r="D88" i="13"/>
  <c r="B89" i="13"/>
  <c r="C89" i="13"/>
  <c r="D89" i="13"/>
  <c r="B90" i="13"/>
  <c r="C90" i="13"/>
  <c r="D90" i="13"/>
  <c r="B91" i="13"/>
  <c r="E91" i="13" s="1"/>
  <c r="F91" i="13" s="1"/>
  <c r="G91" i="13" s="1"/>
  <c r="B515" i="23" s="1"/>
  <c r="C91" i="13"/>
  <c r="D91" i="13"/>
  <c r="B28" i="13"/>
  <c r="C28" i="13"/>
  <c r="D28" i="13"/>
  <c r="B92" i="13"/>
  <c r="C92" i="13"/>
  <c r="D92" i="13"/>
  <c r="B93" i="13"/>
  <c r="C93" i="13"/>
  <c r="D93" i="13"/>
  <c r="B94" i="13"/>
  <c r="C94" i="13"/>
  <c r="D94" i="13"/>
  <c r="B95" i="13"/>
  <c r="C95" i="13"/>
  <c r="D95" i="13"/>
  <c r="B39" i="13"/>
  <c r="C39" i="13"/>
  <c r="D39" i="13"/>
  <c r="B96" i="13"/>
  <c r="C96" i="13"/>
  <c r="D96" i="13"/>
  <c r="B29" i="13"/>
  <c r="C29" i="13"/>
  <c r="D29" i="13"/>
  <c r="B97" i="13"/>
  <c r="C97" i="13"/>
  <c r="D97" i="13"/>
  <c r="B98" i="13"/>
  <c r="C98" i="13"/>
  <c r="D98" i="13"/>
  <c r="B99" i="13"/>
  <c r="C99" i="13"/>
  <c r="D99" i="13"/>
  <c r="B100" i="13"/>
  <c r="C100" i="13"/>
  <c r="D100" i="13"/>
  <c r="B40" i="13"/>
  <c r="C40" i="13"/>
  <c r="D40" i="13"/>
  <c r="B101" i="13"/>
  <c r="C101" i="13"/>
  <c r="D101" i="13"/>
  <c r="B102" i="13"/>
  <c r="C102" i="13"/>
  <c r="D102" i="13"/>
  <c r="B41" i="13"/>
  <c r="E41" i="13" s="1"/>
  <c r="F41" i="13" s="1"/>
  <c r="G41" i="13" s="1"/>
  <c r="B531" i="23" s="1"/>
  <c r="C41" i="13"/>
  <c r="D41" i="13"/>
  <c r="B103" i="13"/>
  <c r="C103" i="13"/>
  <c r="D103" i="13"/>
  <c r="B42" i="13"/>
  <c r="C42" i="13"/>
  <c r="D42" i="13"/>
  <c r="B104" i="13"/>
  <c r="C104" i="13"/>
  <c r="D104" i="13"/>
  <c r="B105" i="13"/>
  <c r="C105" i="13"/>
  <c r="D105" i="13"/>
  <c r="B106" i="13"/>
  <c r="C106" i="13"/>
  <c r="D106" i="13"/>
  <c r="B107" i="13"/>
  <c r="C107" i="13"/>
  <c r="D107" i="13"/>
  <c r="B108" i="13"/>
  <c r="C108" i="13"/>
  <c r="D108" i="13"/>
  <c r="B109" i="13"/>
  <c r="C109" i="13"/>
  <c r="D109" i="13"/>
  <c r="B110" i="13"/>
  <c r="C110" i="13"/>
  <c r="D110" i="13"/>
  <c r="B43" i="13"/>
  <c r="C43" i="13"/>
  <c r="D43" i="13"/>
  <c r="B111" i="13"/>
  <c r="C111" i="13"/>
  <c r="D111" i="13"/>
  <c r="B44" i="13"/>
  <c r="C44" i="13"/>
  <c r="D44" i="13"/>
  <c r="B112" i="13"/>
  <c r="C112" i="13"/>
  <c r="D112" i="13"/>
  <c r="B113" i="13"/>
  <c r="C113" i="13"/>
  <c r="D113" i="13"/>
  <c r="B45" i="13"/>
  <c r="C45" i="13"/>
  <c r="D45" i="13"/>
  <c r="B114" i="13"/>
  <c r="C114" i="13"/>
  <c r="D114" i="13"/>
  <c r="B115" i="13"/>
  <c r="C115" i="13"/>
  <c r="D115" i="13"/>
  <c r="B116" i="13"/>
  <c r="C116" i="13"/>
  <c r="D116" i="13"/>
  <c r="B117" i="13"/>
  <c r="C117" i="13"/>
  <c r="D117" i="13"/>
  <c r="B118" i="13"/>
  <c r="C118" i="13"/>
  <c r="D118" i="13"/>
  <c r="B119" i="13"/>
  <c r="C119" i="13"/>
  <c r="D119" i="13"/>
  <c r="B120" i="13"/>
  <c r="C120" i="13"/>
  <c r="D120" i="13"/>
  <c r="E120" i="13" s="1"/>
  <c r="F120" i="13" s="1"/>
  <c r="G120" i="13" s="1"/>
  <c r="B553" i="23" s="1"/>
  <c r="B121" i="13"/>
  <c r="C121" i="13"/>
  <c r="D121" i="13"/>
  <c r="B46" i="13"/>
  <c r="C46" i="13"/>
  <c r="D46" i="13"/>
  <c r="B122" i="13"/>
  <c r="C122" i="13"/>
  <c r="D122" i="13"/>
  <c r="B123" i="13"/>
  <c r="C123" i="13"/>
  <c r="D123" i="13"/>
  <c r="B124" i="13"/>
  <c r="C124" i="13"/>
  <c r="D124" i="13"/>
  <c r="B125" i="13"/>
  <c r="C125" i="13"/>
  <c r="D125" i="13"/>
  <c r="B3" i="13"/>
  <c r="C3" i="13"/>
  <c r="D3" i="13"/>
  <c r="B4" i="13"/>
  <c r="C4" i="13"/>
  <c r="D4" i="13"/>
  <c r="B5" i="13"/>
  <c r="C5" i="13"/>
  <c r="D5" i="13"/>
  <c r="B6" i="13"/>
  <c r="C6" i="13"/>
  <c r="D6" i="13"/>
  <c r="B7" i="13"/>
  <c r="C7" i="13"/>
  <c r="D7" i="13"/>
  <c r="B8" i="13"/>
  <c r="C8" i="13"/>
  <c r="D8" i="13"/>
  <c r="B9" i="13"/>
  <c r="C9" i="13"/>
  <c r="D9" i="13"/>
  <c r="B10" i="13"/>
  <c r="C10" i="13"/>
  <c r="D10" i="13"/>
  <c r="B11" i="13"/>
  <c r="C11" i="13"/>
  <c r="D11" i="13"/>
  <c r="B12" i="13"/>
  <c r="C12" i="13"/>
  <c r="D12" i="13"/>
  <c r="B13" i="13"/>
  <c r="C13" i="13"/>
  <c r="D13" i="13"/>
  <c r="B14" i="13"/>
  <c r="C14" i="13"/>
  <c r="D14" i="13"/>
  <c r="B15" i="13"/>
  <c r="C15" i="13"/>
  <c r="D15" i="13"/>
  <c r="B16" i="13"/>
  <c r="C16" i="13"/>
  <c r="D16" i="13"/>
  <c r="B17" i="13"/>
  <c r="C17" i="13"/>
  <c r="D17" i="13"/>
  <c r="B18" i="13"/>
  <c r="C18" i="13"/>
  <c r="D18" i="13"/>
  <c r="B19" i="13"/>
  <c r="C19" i="13"/>
  <c r="D19" i="13"/>
  <c r="B20" i="13"/>
  <c r="C20" i="13"/>
  <c r="D20" i="13"/>
  <c r="B21" i="13"/>
  <c r="C21" i="13"/>
  <c r="D21" i="13"/>
  <c r="B22" i="13"/>
  <c r="C22" i="13"/>
  <c r="D22" i="13"/>
  <c r="B23" i="13"/>
  <c r="C23" i="13"/>
  <c r="D23" i="13"/>
  <c r="B24" i="13"/>
  <c r="C24" i="13"/>
  <c r="D24" i="13"/>
  <c r="B25" i="13"/>
  <c r="C25" i="13"/>
  <c r="D25" i="13"/>
  <c r="B26" i="13"/>
  <c r="C26" i="13"/>
  <c r="D26" i="13"/>
  <c r="B27" i="13"/>
  <c r="C27" i="13"/>
  <c r="D27" i="13"/>
  <c r="B30" i="13"/>
  <c r="C30" i="13"/>
  <c r="D30" i="13"/>
  <c r="B31" i="13"/>
  <c r="C31" i="13"/>
  <c r="D31" i="13"/>
  <c r="B32" i="13"/>
  <c r="C32" i="13"/>
  <c r="D32" i="13"/>
  <c r="B33" i="13"/>
  <c r="C33" i="13"/>
  <c r="D33" i="13"/>
  <c r="B34" i="13"/>
  <c r="C34" i="13"/>
  <c r="D34" i="13"/>
  <c r="B35" i="13"/>
  <c r="C35" i="13"/>
  <c r="D35" i="13"/>
  <c r="B47" i="13"/>
  <c r="C47" i="13"/>
  <c r="D47" i="13"/>
  <c r="B48" i="13"/>
  <c r="C48" i="13"/>
  <c r="D48" i="13"/>
  <c r="B49" i="13"/>
  <c r="C49" i="13"/>
  <c r="D49" i="13"/>
  <c r="B50" i="13"/>
  <c r="C50" i="13"/>
  <c r="D50" i="13"/>
  <c r="B51" i="13"/>
  <c r="C51" i="13"/>
  <c r="D51" i="13"/>
  <c r="B52" i="13"/>
  <c r="C52" i="13"/>
  <c r="D52" i="13"/>
  <c r="B53" i="13"/>
  <c r="C53" i="13"/>
  <c r="D53" i="13"/>
  <c r="B54" i="13"/>
  <c r="C54" i="13"/>
  <c r="D54" i="13"/>
  <c r="B55" i="13"/>
  <c r="C55" i="13"/>
  <c r="D55" i="13"/>
  <c r="B56" i="13"/>
  <c r="C56" i="13"/>
  <c r="D56" i="13"/>
  <c r="B57" i="13"/>
  <c r="C57" i="13"/>
  <c r="D57" i="13"/>
  <c r="B58" i="13"/>
  <c r="C58" i="13"/>
  <c r="D58" i="13"/>
  <c r="B59" i="13"/>
  <c r="C59" i="13"/>
  <c r="D59" i="13"/>
  <c r="B60" i="13"/>
  <c r="C60" i="13"/>
  <c r="D60" i="13"/>
  <c r="B61" i="13"/>
  <c r="C61" i="13"/>
  <c r="D61" i="13"/>
  <c r="B62" i="13"/>
  <c r="C62" i="13"/>
  <c r="D62" i="13"/>
  <c r="B63" i="13"/>
  <c r="C63" i="13"/>
  <c r="D63" i="13"/>
  <c r="B64" i="13"/>
  <c r="C64" i="13"/>
  <c r="D64" i="13"/>
  <c r="B65" i="13"/>
  <c r="C65" i="13"/>
  <c r="D65" i="13"/>
  <c r="B66" i="13"/>
  <c r="C66" i="13"/>
  <c r="D66" i="13"/>
  <c r="B67" i="13"/>
  <c r="C67" i="13"/>
  <c r="D67" i="13"/>
  <c r="B68" i="13"/>
  <c r="C68" i="13"/>
  <c r="D68" i="13"/>
  <c r="B69" i="13"/>
  <c r="C69" i="13"/>
  <c r="D69" i="13"/>
  <c r="B70" i="13"/>
  <c r="C70" i="13"/>
  <c r="D70" i="13"/>
  <c r="B71" i="13"/>
  <c r="C71" i="13"/>
  <c r="D71" i="13"/>
  <c r="B72" i="13"/>
  <c r="C72" i="13"/>
  <c r="D72" i="13"/>
  <c r="B2" i="13"/>
  <c r="B2" i="12"/>
  <c r="B3" i="12"/>
  <c r="B4" i="12"/>
  <c r="B5" i="12"/>
  <c r="B6" i="12"/>
  <c r="B7" i="12"/>
  <c r="B10" i="12"/>
  <c r="B11" i="12"/>
  <c r="B8" i="12"/>
  <c r="B9" i="12"/>
  <c r="B12" i="12"/>
  <c r="B13" i="12"/>
  <c r="B16" i="12"/>
  <c r="B17" i="12"/>
  <c r="B18" i="12"/>
  <c r="B19" i="12"/>
  <c r="B20" i="12"/>
  <c r="B14" i="12"/>
  <c r="B15" i="12"/>
  <c r="B23" i="12"/>
  <c r="B24" i="12"/>
  <c r="B21" i="12"/>
  <c r="B25" i="12"/>
  <c r="B26" i="12"/>
  <c r="B27" i="12"/>
  <c r="B28" i="12"/>
  <c r="B29" i="12"/>
  <c r="B30" i="12"/>
  <c r="B31" i="12"/>
  <c r="B37" i="12"/>
  <c r="B38" i="12"/>
  <c r="B32" i="12"/>
  <c r="B39" i="12"/>
  <c r="B33" i="12"/>
  <c r="B34" i="12"/>
  <c r="B35" i="12"/>
  <c r="B40" i="12"/>
  <c r="B41" i="12"/>
  <c r="B42" i="12"/>
  <c r="B43" i="12"/>
  <c r="B36" i="12"/>
  <c r="B44" i="12"/>
  <c r="B45" i="12"/>
  <c r="B46" i="12"/>
  <c r="B47" i="12"/>
  <c r="B48" i="12"/>
  <c r="B49" i="12"/>
  <c r="B50" i="12"/>
  <c r="B51" i="12"/>
  <c r="B52" i="12"/>
  <c r="B53" i="12"/>
  <c r="B70" i="12"/>
  <c r="B71" i="12"/>
  <c r="B54" i="12"/>
  <c r="B72" i="12"/>
  <c r="B55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56" i="12"/>
  <c r="B88" i="12"/>
  <c r="B57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58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59" i="12"/>
  <c r="B60" i="12"/>
  <c r="B121" i="12"/>
  <c r="B122" i="12"/>
  <c r="B61" i="12"/>
  <c r="B123" i="12"/>
  <c r="B124" i="12"/>
  <c r="B125" i="12"/>
  <c r="B126" i="12"/>
  <c r="B127" i="12"/>
  <c r="B128" i="12"/>
  <c r="B129" i="12"/>
  <c r="B130" i="12"/>
  <c r="B62" i="12"/>
  <c r="B63" i="12"/>
  <c r="B131" i="12"/>
  <c r="B132" i="12"/>
  <c r="B133" i="12"/>
  <c r="B64" i="12"/>
  <c r="B134" i="12"/>
  <c r="B135" i="12"/>
  <c r="B65" i="12"/>
  <c r="B136" i="12"/>
  <c r="B137" i="12"/>
  <c r="B66" i="12"/>
  <c r="B67" i="12"/>
  <c r="B138" i="12"/>
  <c r="B139" i="12"/>
  <c r="B140" i="12"/>
  <c r="B141" i="12"/>
  <c r="B68" i="12"/>
  <c r="B142" i="12"/>
  <c r="B143" i="12"/>
  <c r="B144" i="12"/>
  <c r="B145" i="12"/>
  <c r="B146" i="12"/>
  <c r="B147" i="12"/>
  <c r="B69" i="12"/>
  <c r="B148" i="12"/>
  <c r="B22" i="12"/>
  <c r="B18" i="11"/>
  <c r="C18" i="11"/>
  <c r="D18" i="11"/>
  <c r="B10" i="11"/>
  <c r="C10" i="11"/>
  <c r="D10" i="11"/>
  <c r="B15" i="11"/>
  <c r="C15" i="11"/>
  <c r="D15" i="11"/>
  <c r="B29" i="11"/>
  <c r="C29" i="11"/>
  <c r="D29" i="11"/>
  <c r="B30" i="11"/>
  <c r="C30" i="11"/>
  <c r="D30" i="11"/>
  <c r="B22" i="11"/>
  <c r="C22" i="11"/>
  <c r="D22" i="11"/>
  <c r="B23" i="11"/>
  <c r="C23" i="11"/>
  <c r="D23" i="11"/>
  <c r="B31" i="11"/>
  <c r="C31" i="11"/>
  <c r="D31" i="11"/>
  <c r="B20" i="11"/>
  <c r="C20" i="11"/>
  <c r="D20" i="11"/>
  <c r="B32" i="11"/>
  <c r="C32" i="11"/>
  <c r="D32" i="11"/>
  <c r="B24" i="11"/>
  <c r="C24" i="11"/>
  <c r="D24" i="11"/>
  <c r="B25" i="11"/>
  <c r="C25" i="11"/>
  <c r="D25" i="11"/>
  <c r="B16" i="11"/>
  <c r="C16" i="11"/>
  <c r="D16" i="11"/>
  <c r="B21" i="11"/>
  <c r="C21" i="11"/>
  <c r="D21" i="11"/>
  <c r="B36" i="11"/>
  <c r="C36" i="11"/>
  <c r="D36" i="11"/>
  <c r="B33" i="11"/>
  <c r="C33" i="11"/>
  <c r="D33" i="11"/>
  <c r="B37" i="11"/>
  <c r="C37" i="11"/>
  <c r="D37" i="11"/>
  <c r="B19" i="11"/>
  <c r="C19" i="11"/>
  <c r="D19" i="11"/>
  <c r="B35" i="11"/>
  <c r="C35" i="11"/>
  <c r="D35" i="11"/>
  <c r="B38" i="11"/>
  <c r="C38" i="11"/>
  <c r="D38" i="11"/>
  <c r="B52" i="11"/>
  <c r="C52" i="11"/>
  <c r="D52" i="11"/>
  <c r="B51" i="11"/>
  <c r="C51" i="11"/>
  <c r="D51" i="11"/>
  <c r="B53" i="11"/>
  <c r="C53" i="11"/>
  <c r="D53" i="11"/>
  <c r="B54" i="11"/>
  <c r="C54" i="11"/>
  <c r="D54" i="11"/>
  <c r="B55" i="11"/>
  <c r="C55" i="11"/>
  <c r="D55" i="11"/>
  <c r="B39" i="11"/>
  <c r="C39" i="11"/>
  <c r="D39" i="11"/>
  <c r="B56" i="11"/>
  <c r="C56" i="11"/>
  <c r="D56" i="11"/>
  <c r="B57" i="11"/>
  <c r="C57" i="11"/>
  <c r="D57" i="11"/>
  <c r="B41" i="11"/>
  <c r="C41" i="11"/>
  <c r="D41" i="11"/>
  <c r="B34" i="11"/>
  <c r="C34" i="11"/>
  <c r="D34" i="11"/>
  <c r="B66" i="11"/>
  <c r="C66" i="11"/>
  <c r="D66" i="11"/>
  <c r="B67" i="11"/>
  <c r="C67" i="11"/>
  <c r="D67" i="11"/>
  <c r="B68" i="11"/>
  <c r="C68" i="11"/>
  <c r="D68" i="11"/>
  <c r="B58" i="11"/>
  <c r="C58" i="11"/>
  <c r="D58" i="11"/>
  <c r="B42" i="11"/>
  <c r="C42" i="11"/>
  <c r="D42" i="11"/>
  <c r="B69" i="11"/>
  <c r="C69" i="11"/>
  <c r="D69" i="11"/>
  <c r="B70" i="11"/>
  <c r="C70" i="11"/>
  <c r="D70" i="11"/>
  <c r="B71" i="11"/>
  <c r="C71" i="11"/>
  <c r="D71" i="11"/>
  <c r="B72" i="11"/>
  <c r="C72" i="11"/>
  <c r="D72" i="11"/>
  <c r="B43" i="11"/>
  <c r="C43" i="11"/>
  <c r="D43" i="11"/>
  <c r="B73" i="11"/>
  <c r="C73" i="11"/>
  <c r="D73" i="11"/>
  <c r="B74" i="11"/>
  <c r="C74" i="11"/>
  <c r="D74" i="11"/>
  <c r="B75" i="11"/>
  <c r="C75" i="11"/>
  <c r="D75" i="11"/>
  <c r="B76" i="11"/>
  <c r="C76" i="11"/>
  <c r="D76" i="11"/>
  <c r="B59" i="11"/>
  <c r="C59" i="11"/>
  <c r="D59" i="11"/>
  <c r="B60" i="11"/>
  <c r="C60" i="11"/>
  <c r="D60" i="11"/>
  <c r="B77" i="11"/>
  <c r="C77" i="11"/>
  <c r="D77" i="11"/>
  <c r="B78" i="11"/>
  <c r="C78" i="11"/>
  <c r="D78" i="11"/>
  <c r="B79" i="11"/>
  <c r="C79" i="11"/>
  <c r="D79" i="11"/>
  <c r="B80" i="11"/>
  <c r="C80" i="11"/>
  <c r="D80" i="11"/>
  <c r="B81" i="11"/>
  <c r="C81" i="11"/>
  <c r="D81" i="11"/>
  <c r="B82" i="11"/>
  <c r="C82" i="11"/>
  <c r="D82" i="11"/>
  <c r="B83" i="11"/>
  <c r="C83" i="11"/>
  <c r="D83" i="11"/>
  <c r="B84" i="11"/>
  <c r="C84" i="11"/>
  <c r="D84" i="11"/>
  <c r="B85" i="11"/>
  <c r="C85" i="11"/>
  <c r="D85" i="11"/>
  <c r="B44" i="11"/>
  <c r="C44" i="11"/>
  <c r="D44" i="11"/>
  <c r="B45" i="11"/>
  <c r="C45" i="11"/>
  <c r="D45" i="11"/>
  <c r="B86" i="11"/>
  <c r="C86" i="11"/>
  <c r="D86" i="11"/>
  <c r="B87" i="11"/>
  <c r="C87" i="11"/>
  <c r="D87" i="11"/>
  <c r="B88" i="11"/>
  <c r="C88" i="11"/>
  <c r="D88" i="11"/>
  <c r="B26" i="11"/>
  <c r="C26" i="11"/>
  <c r="D26" i="11"/>
  <c r="B27" i="11"/>
  <c r="C27" i="11"/>
  <c r="D27" i="11"/>
  <c r="B89" i="11"/>
  <c r="C89" i="11"/>
  <c r="D89" i="11"/>
  <c r="B90" i="11"/>
  <c r="C90" i="11"/>
  <c r="D90" i="11"/>
  <c r="B91" i="11"/>
  <c r="C91" i="11"/>
  <c r="D91" i="11"/>
  <c r="B92" i="11"/>
  <c r="C92" i="11"/>
  <c r="D92" i="11"/>
  <c r="B61" i="11"/>
  <c r="C61" i="11"/>
  <c r="D61" i="11"/>
  <c r="B62" i="11"/>
  <c r="C62" i="11"/>
  <c r="D62" i="11"/>
  <c r="B93" i="11"/>
  <c r="C93" i="11"/>
  <c r="D93" i="11"/>
  <c r="B94" i="11"/>
  <c r="C94" i="11"/>
  <c r="D94" i="11"/>
  <c r="B95" i="11"/>
  <c r="C95" i="11"/>
  <c r="D95" i="11"/>
  <c r="B96" i="11"/>
  <c r="C96" i="11"/>
  <c r="D96" i="11"/>
  <c r="B97" i="11"/>
  <c r="C97" i="11"/>
  <c r="D97" i="11"/>
  <c r="B98" i="11"/>
  <c r="C98" i="11"/>
  <c r="D98" i="11"/>
  <c r="B99" i="11"/>
  <c r="C99" i="11"/>
  <c r="D99" i="11"/>
  <c r="B100" i="11"/>
  <c r="C100" i="11"/>
  <c r="D100" i="11"/>
  <c r="B101" i="11"/>
  <c r="C101" i="11"/>
  <c r="D101" i="11"/>
  <c r="B102" i="11"/>
  <c r="C102" i="11"/>
  <c r="D102" i="11"/>
  <c r="B103" i="11"/>
  <c r="C103" i="11"/>
  <c r="D103" i="11"/>
  <c r="B104" i="11"/>
  <c r="C104" i="11"/>
  <c r="D104" i="11"/>
  <c r="B105" i="11"/>
  <c r="C105" i="11"/>
  <c r="D105" i="11"/>
  <c r="B106" i="11"/>
  <c r="C106" i="11"/>
  <c r="D106" i="11"/>
  <c r="B107" i="11"/>
  <c r="C107" i="11"/>
  <c r="D107" i="11"/>
  <c r="B108" i="11"/>
  <c r="C108" i="11"/>
  <c r="D108" i="11"/>
  <c r="B109" i="11"/>
  <c r="C109" i="11"/>
  <c r="D109" i="11"/>
  <c r="B110" i="11"/>
  <c r="C110" i="11"/>
  <c r="D110" i="11"/>
  <c r="B111" i="11"/>
  <c r="C111" i="11"/>
  <c r="D111" i="11"/>
  <c r="B112" i="11"/>
  <c r="C112" i="11"/>
  <c r="D112" i="11"/>
  <c r="B113" i="11"/>
  <c r="C113" i="11"/>
  <c r="D113" i="11"/>
  <c r="B114" i="11"/>
  <c r="C114" i="11"/>
  <c r="D114" i="11"/>
  <c r="B115" i="11"/>
  <c r="C115" i="11"/>
  <c r="D115" i="11"/>
  <c r="B116" i="11"/>
  <c r="C116" i="11"/>
  <c r="D116" i="11"/>
  <c r="B117" i="11"/>
  <c r="C117" i="11"/>
  <c r="D117" i="11"/>
  <c r="B46" i="11"/>
  <c r="C46" i="11"/>
  <c r="D46" i="11"/>
  <c r="B118" i="11"/>
  <c r="C118" i="11"/>
  <c r="D118" i="11"/>
  <c r="B119" i="11"/>
  <c r="C119" i="11"/>
  <c r="D119" i="11"/>
  <c r="B120" i="11"/>
  <c r="C120" i="11"/>
  <c r="D120" i="11"/>
  <c r="B121" i="11"/>
  <c r="C121" i="11"/>
  <c r="D121" i="11"/>
  <c r="B122" i="11"/>
  <c r="C122" i="11"/>
  <c r="D122" i="11"/>
  <c r="B123" i="11"/>
  <c r="C123" i="11"/>
  <c r="D123" i="11"/>
  <c r="B63" i="11"/>
  <c r="C63" i="11"/>
  <c r="D63" i="11"/>
  <c r="B47" i="11"/>
  <c r="C47" i="11"/>
  <c r="D47" i="11"/>
  <c r="B124" i="11"/>
  <c r="C124" i="11"/>
  <c r="D124" i="11"/>
  <c r="B125" i="11"/>
  <c r="C125" i="11"/>
  <c r="D125" i="11"/>
  <c r="B48" i="11"/>
  <c r="C48" i="11"/>
  <c r="D48" i="11"/>
  <c r="B126" i="11"/>
  <c r="C126" i="11"/>
  <c r="D126" i="11"/>
  <c r="B127" i="11"/>
  <c r="C127" i="11"/>
  <c r="D127" i="11"/>
  <c r="B64" i="11"/>
  <c r="C64" i="11"/>
  <c r="D64" i="11"/>
  <c r="B128" i="11"/>
  <c r="C128" i="11"/>
  <c r="D128" i="11"/>
  <c r="B129" i="11"/>
  <c r="C129" i="11"/>
  <c r="D129" i="11"/>
  <c r="B65" i="11"/>
  <c r="C65" i="11"/>
  <c r="D65" i="11"/>
  <c r="B130" i="11"/>
  <c r="C130" i="11"/>
  <c r="D130" i="11"/>
  <c r="B12" i="11"/>
  <c r="C12" i="11"/>
  <c r="D12" i="11"/>
  <c r="B131" i="11"/>
  <c r="C131" i="11"/>
  <c r="D131" i="11"/>
  <c r="B132" i="11"/>
  <c r="C132" i="11"/>
  <c r="D132" i="11"/>
  <c r="B133" i="11"/>
  <c r="C133" i="11"/>
  <c r="D133" i="11"/>
  <c r="B134" i="11"/>
  <c r="C134" i="11"/>
  <c r="D134" i="11"/>
  <c r="B49" i="11"/>
  <c r="C49" i="11"/>
  <c r="D49" i="11"/>
  <c r="B135" i="11"/>
  <c r="C135" i="11"/>
  <c r="D135" i="11"/>
  <c r="B136" i="11"/>
  <c r="C136" i="11"/>
  <c r="D136" i="11"/>
  <c r="B137" i="11"/>
  <c r="C137" i="11"/>
  <c r="D137" i="11"/>
  <c r="B138" i="11"/>
  <c r="C138" i="11"/>
  <c r="D138" i="11"/>
  <c r="B28" i="11"/>
  <c r="C28" i="11"/>
  <c r="D28" i="11"/>
  <c r="B139" i="11"/>
  <c r="C139" i="11"/>
  <c r="D139" i="11"/>
  <c r="B140" i="11"/>
  <c r="C140" i="11"/>
  <c r="D140" i="11"/>
  <c r="B141" i="11"/>
  <c r="C141" i="11"/>
  <c r="D141" i="11"/>
  <c r="B142" i="11"/>
  <c r="C142" i="11"/>
  <c r="D142" i="11"/>
  <c r="B50" i="11"/>
  <c r="C50" i="11"/>
  <c r="D50" i="11"/>
  <c r="B40" i="11"/>
  <c r="C40" i="11"/>
  <c r="D40" i="11"/>
  <c r="B143" i="11"/>
  <c r="C143" i="11"/>
  <c r="D143" i="11"/>
  <c r="B144" i="11"/>
  <c r="C144" i="11"/>
  <c r="D144" i="11"/>
  <c r="B145" i="11"/>
  <c r="C145" i="11"/>
  <c r="D145" i="11"/>
  <c r="B146" i="11"/>
  <c r="C146" i="11"/>
  <c r="D146" i="11"/>
  <c r="B147" i="11"/>
  <c r="C147" i="11"/>
  <c r="D147" i="11"/>
  <c r="B148" i="11"/>
  <c r="C148" i="11"/>
  <c r="D148" i="11"/>
  <c r="B149" i="11"/>
  <c r="C149" i="11"/>
  <c r="D149" i="11"/>
  <c r="B3" i="11"/>
  <c r="C3" i="11"/>
  <c r="D3" i="11"/>
  <c r="E12" i="11" l="1"/>
  <c r="E58" i="13"/>
  <c r="F58" i="13" s="1"/>
  <c r="G58" i="13" s="1"/>
  <c r="B454" i="23" s="1"/>
  <c r="E119" i="13"/>
  <c r="F119" i="13" s="1"/>
  <c r="G119" i="13" s="1"/>
  <c r="B552" i="23" s="1"/>
  <c r="E123" i="13"/>
  <c r="F123" i="13" s="1"/>
  <c r="G123" i="13" s="1"/>
  <c r="B557" i="23" s="1"/>
  <c r="E121" i="13"/>
  <c r="F121" i="13" s="1"/>
  <c r="G121" i="13" s="1"/>
  <c r="B554" i="23" s="1"/>
  <c r="E120" i="11"/>
  <c r="F120" i="11" s="1"/>
  <c r="G120" i="11" s="1"/>
  <c r="E115" i="13"/>
  <c r="F115" i="13" s="1"/>
  <c r="G115" i="13" s="1"/>
  <c r="B548" i="23" s="1"/>
  <c r="E11" i="13"/>
  <c r="F11" i="13" s="1"/>
  <c r="G11" i="13" s="1"/>
  <c r="B42" i="23" s="1"/>
  <c r="E117" i="13"/>
  <c r="F117" i="13" s="1"/>
  <c r="G117" i="13" s="1"/>
  <c r="B550" i="23" s="1"/>
  <c r="E111" i="13"/>
  <c r="F111" i="13" s="1"/>
  <c r="G111" i="13" s="1"/>
  <c r="B542" i="23" s="1"/>
  <c r="E99" i="13"/>
  <c r="F99" i="13" s="1"/>
  <c r="G99" i="13" s="1"/>
  <c r="B526" i="23" s="1"/>
  <c r="E71" i="13"/>
  <c r="F71" i="13" s="1"/>
  <c r="G71" i="13" s="1"/>
  <c r="B468" i="23" s="1"/>
  <c r="E55" i="13"/>
  <c r="F55" i="13" s="1"/>
  <c r="G55" i="13" s="1"/>
  <c r="B451" i="23" s="1"/>
  <c r="E98" i="13"/>
  <c r="F98" i="13" s="1"/>
  <c r="G98" i="13" s="1"/>
  <c r="B525" i="23" s="1"/>
  <c r="E79" i="13"/>
  <c r="F79" i="13" s="1"/>
  <c r="G79" i="13" s="1"/>
  <c r="B501" i="23" s="1"/>
  <c r="E60" i="13"/>
  <c r="F60" i="13" s="1"/>
  <c r="G60" i="13" s="1"/>
  <c r="B456" i="23" s="1"/>
  <c r="E52" i="13"/>
  <c r="F52" i="13" s="1"/>
  <c r="G52" i="13" s="1"/>
  <c r="B448" i="23" s="1"/>
  <c r="E15" i="13"/>
  <c r="F15" i="13" s="1"/>
  <c r="G15" i="13" s="1"/>
  <c r="B54" i="23" s="1"/>
  <c r="E122" i="13"/>
  <c r="F122" i="13" s="1"/>
  <c r="G122" i="13" s="1"/>
  <c r="B556" i="23" s="1"/>
  <c r="E47" i="13"/>
  <c r="F47" i="13" s="1"/>
  <c r="G47" i="13" s="1"/>
  <c r="B357" i="23" s="1"/>
  <c r="E116" i="13"/>
  <c r="F116" i="13" s="1"/>
  <c r="G116" i="13" s="1"/>
  <c r="B549" i="23" s="1"/>
  <c r="E43" i="13"/>
  <c r="F43" i="13" s="1"/>
  <c r="G43" i="13" s="1"/>
  <c r="B541" i="23" s="1"/>
  <c r="E42" i="13"/>
  <c r="F42" i="13" s="1"/>
  <c r="G42" i="13" s="1"/>
  <c r="B533" i="23" s="1"/>
  <c r="E92" i="13"/>
  <c r="F92" i="13" s="1"/>
  <c r="G92" i="13" s="1"/>
  <c r="B517" i="23" s="1"/>
  <c r="E85" i="13"/>
  <c r="F85" i="13" s="1"/>
  <c r="G85" i="13" s="1"/>
  <c r="B509" i="23" s="1"/>
  <c r="E105" i="13"/>
  <c r="F105" i="13" s="1"/>
  <c r="G105" i="13" s="1"/>
  <c r="B535" i="23" s="1"/>
  <c r="E94" i="13"/>
  <c r="F94" i="13" s="1"/>
  <c r="G94" i="13" s="1"/>
  <c r="B519" i="23" s="1"/>
  <c r="E81" i="13"/>
  <c r="F81" i="13" s="1"/>
  <c r="G81" i="13" s="1"/>
  <c r="B503" i="23" s="1"/>
  <c r="E14" i="13"/>
  <c r="F14" i="13" s="1"/>
  <c r="G14" i="13" s="1"/>
  <c r="B53" i="23" s="1"/>
  <c r="E113" i="13"/>
  <c r="F113" i="13" s="1"/>
  <c r="G113" i="13" s="1"/>
  <c r="B545" i="23" s="1"/>
  <c r="E107" i="13"/>
  <c r="F107" i="13" s="1"/>
  <c r="G107" i="13" s="1"/>
  <c r="B537" i="23" s="1"/>
  <c r="E101" i="13"/>
  <c r="F101" i="13" s="1"/>
  <c r="G101" i="13" s="1"/>
  <c r="B529" i="23" s="1"/>
  <c r="E39" i="13"/>
  <c r="F39" i="13" s="1"/>
  <c r="G39" i="13" s="1"/>
  <c r="B521" i="23" s="1"/>
  <c r="E89" i="13"/>
  <c r="F89" i="13" s="1"/>
  <c r="G89" i="13" s="1"/>
  <c r="B513" i="23" s="1"/>
  <c r="E82" i="13"/>
  <c r="F82" i="13" s="1"/>
  <c r="G82" i="13" s="1"/>
  <c r="B505" i="23" s="1"/>
  <c r="E75" i="13"/>
  <c r="F75" i="13" s="1"/>
  <c r="G75" i="13" s="1"/>
  <c r="B497" i="23" s="1"/>
  <c r="E18" i="13"/>
  <c r="F18" i="13" s="1"/>
  <c r="G18" i="13" s="1"/>
  <c r="B68" i="23" s="1"/>
  <c r="E40" i="13"/>
  <c r="F40" i="13" s="1"/>
  <c r="G40" i="13" s="1"/>
  <c r="B528" i="23" s="1"/>
  <c r="E136" i="11"/>
  <c r="F136" i="11" s="1"/>
  <c r="G136" i="11" s="1"/>
  <c r="E81" i="11"/>
  <c r="F81" i="11" s="1"/>
  <c r="G81" i="11" s="1"/>
  <c r="E35" i="11"/>
  <c r="E66" i="11"/>
  <c r="F66" i="11" s="1"/>
  <c r="G66" i="11" s="1"/>
  <c r="E53" i="11"/>
  <c r="F53" i="11" s="1"/>
  <c r="G53" i="11" s="1"/>
  <c r="E23" i="11"/>
  <c r="F23" i="11" s="1"/>
  <c r="G23" i="11" s="1"/>
  <c r="E95" i="11"/>
  <c r="E89" i="11"/>
  <c r="E77" i="11"/>
  <c r="E72" i="11"/>
  <c r="G4" i="11"/>
  <c r="F12" i="11"/>
  <c r="G12" i="11" s="1"/>
  <c r="E46" i="11"/>
  <c r="F35" i="11"/>
  <c r="G35" i="11" s="1"/>
  <c r="E115" i="11"/>
  <c r="F115" i="11" s="1"/>
  <c r="G115" i="11" s="1"/>
  <c r="E107" i="11"/>
  <c r="E43" i="11"/>
  <c r="E67" i="11"/>
  <c r="E41" i="11"/>
  <c r="E30" i="11"/>
  <c r="E110" i="11"/>
  <c r="E33" i="13"/>
  <c r="F33" i="13" s="1"/>
  <c r="G33" i="13" s="1"/>
  <c r="B446" i="23" s="1"/>
  <c r="E65" i="11"/>
  <c r="E118" i="11"/>
  <c r="E63" i="11"/>
  <c r="E141" i="11"/>
  <c r="E109" i="11"/>
  <c r="E123" i="11"/>
  <c r="E98" i="11"/>
  <c r="E86" i="11"/>
  <c r="E39" i="11"/>
  <c r="E36" i="11"/>
  <c r="E134" i="11"/>
  <c r="E47" i="11"/>
  <c r="E105" i="11"/>
  <c r="E62" i="11"/>
  <c r="E88" i="11"/>
  <c r="E25" i="11"/>
  <c r="E55" i="11"/>
  <c r="E143" i="11"/>
  <c r="E130" i="11"/>
  <c r="E125" i="11"/>
  <c r="E94" i="11"/>
  <c r="E60" i="11"/>
  <c r="E21" i="11"/>
  <c r="E22" i="11"/>
  <c r="E132" i="11"/>
  <c r="E145" i="11"/>
  <c r="E99" i="11"/>
  <c r="E61" i="11"/>
  <c r="E42" i="11"/>
  <c r="E56" i="11"/>
  <c r="E24" i="11"/>
  <c r="E15" i="11"/>
  <c r="E117" i="11"/>
  <c r="E33" i="11"/>
  <c r="E31" i="11"/>
  <c r="E140" i="11"/>
  <c r="E139" i="11"/>
  <c r="E51" i="13"/>
  <c r="F51" i="13" s="1"/>
  <c r="G51" i="13" s="1"/>
  <c r="B447" i="23" s="1"/>
  <c r="E80" i="11"/>
  <c r="E10" i="11"/>
  <c r="E19" i="13"/>
  <c r="F19" i="13" s="1"/>
  <c r="G19" i="13" s="1"/>
  <c r="B120" i="23" s="1"/>
  <c r="E102" i="13"/>
  <c r="F102" i="13" s="1"/>
  <c r="G102" i="13" s="1"/>
  <c r="B530" i="23" s="1"/>
  <c r="E103" i="13"/>
  <c r="F103" i="13" s="1"/>
  <c r="G103" i="13" s="1"/>
  <c r="B532" i="23" s="1"/>
  <c r="E38" i="13"/>
  <c r="F38" i="13" s="1"/>
  <c r="G38" i="13" s="1"/>
  <c r="B507" i="23" s="1"/>
  <c r="E20" i="13"/>
  <c r="F20" i="13" s="1"/>
  <c r="G20" i="13" s="1"/>
  <c r="B52" i="23" s="1"/>
  <c r="E10" i="13"/>
  <c r="F10" i="13" s="1"/>
  <c r="G10" i="13" s="1"/>
  <c r="B28" i="23" s="1"/>
  <c r="E104" i="13"/>
  <c r="F104" i="13" s="1"/>
  <c r="G104" i="13" s="1"/>
  <c r="B534" i="23" s="1"/>
  <c r="E93" i="13"/>
  <c r="F93" i="13" s="1"/>
  <c r="G93" i="13" s="1"/>
  <c r="B518" i="23" s="1"/>
  <c r="E28" i="13"/>
  <c r="F28" i="13" s="1"/>
  <c r="G28" i="13" s="1"/>
  <c r="B516" i="23" s="1"/>
  <c r="E80" i="13"/>
  <c r="F80" i="13" s="1"/>
  <c r="G80" i="13" s="1"/>
  <c r="B502" i="23" s="1"/>
  <c r="E78" i="13"/>
  <c r="F78" i="13" s="1"/>
  <c r="G78" i="13" s="1"/>
  <c r="B500" i="23" s="1"/>
  <c r="E62" i="13"/>
  <c r="F62" i="13" s="1"/>
  <c r="G62" i="13" s="1"/>
  <c r="B458" i="23" s="1"/>
  <c r="E76" i="13"/>
  <c r="F76" i="13" s="1"/>
  <c r="G76" i="13" s="1"/>
  <c r="B498" i="23" s="1"/>
  <c r="E54" i="13"/>
  <c r="F54" i="13" s="1"/>
  <c r="G54" i="13" s="1"/>
  <c r="B450" i="23" s="1"/>
  <c r="E48" i="13"/>
  <c r="F48" i="13" s="1"/>
  <c r="G48" i="13" s="1"/>
  <c r="B358" i="23" s="1"/>
  <c r="E66" i="13"/>
  <c r="F66" i="13" s="1"/>
  <c r="G66" i="13" s="1"/>
  <c r="B463" i="23" s="1"/>
  <c r="E56" i="13"/>
  <c r="F56" i="13" s="1"/>
  <c r="G56" i="13" s="1"/>
  <c r="B452" i="23" s="1"/>
  <c r="E25" i="13"/>
  <c r="F25" i="13" s="1"/>
  <c r="G25" i="13" s="1"/>
  <c r="B121" i="23" s="1"/>
  <c r="E7" i="13"/>
  <c r="F7" i="13" s="1"/>
  <c r="G7" i="13" s="1"/>
  <c r="B29" i="23" s="1"/>
  <c r="E44" i="13"/>
  <c r="F44" i="13" s="1"/>
  <c r="G44" i="13" s="1"/>
  <c r="B543" i="23" s="1"/>
  <c r="E106" i="13"/>
  <c r="F106" i="13" s="1"/>
  <c r="G106" i="13" s="1"/>
  <c r="B536" i="23" s="1"/>
  <c r="E100" i="13"/>
  <c r="F100" i="13" s="1"/>
  <c r="G100" i="13" s="1"/>
  <c r="B527" i="23" s="1"/>
  <c r="E87" i="13"/>
  <c r="F87" i="13" s="1"/>
  <c r="G87" i="13" s="1"/>
  <c r="B511" i="23" s="1"/>
  <c r="E73" i="13"/>
  <c r="F73" i="13" s="1"/>
  <c r="G73" i="13" s="1"/>
  <c r="B495" i="23" s="1"/>
  <c r="E49" i="13"/>
  <c r="F49" i="13" s="1"/>
  <c r="G49" i="13" s="1"/>
  <c r="B359" i="23" s="1"/>
  <c r="E45" i="13"/>
  <c r="F45" i="13" s="1"/>
  <c r="G45" i="13" s="1"/>
  <c r="B546" i="23" s="1"/>
  <c r="E88" i="13"/>
  <c r="F88" i="13" s="1"/>
  <c r="G88" i="13" s="1"/>
  <c r="B512" i="23" s="1"/>
  <c r="E70" i="13"/>
  <c r="F70" i="13" s="1"/>
  <c r="G70" i="13" s="1"/>
  <c r="B467" i="23" s="1"/>
  <c r="E23" i="13"/>
  <c r="F23" i="13" s="1"/>
  <c r="G23" i="13" s="1"/>
  <c r="B118" i="23" s="1"/>
  <c r="E109" i="13"/>
  <c r="F109" i="13" s="1"/>
  <c r="G109" i="13" s="1"/>
  <c r="B539" i="23" s="1"/>
  <c r="E29" i="13"/>
  <c r="F29" i="13" s="1"/>
  <c r="G29" i="13" s="1"/>
  <c r="B523" i="23" s="1"/>
  <c r="E59" i="13"/>
  <c r="F59" i="13" s="1"/>
  <c r="G59" i="13" s="1"/>
  <c r="B455" i="23" s="1"/>
  <c r="E125" i="13"/>
  <c r="F125" i="13" s="1"/>
  <c r="G125" i="13" s="1"/>
  <c r="B559" i="23" s="1"/>
  <c r="E72" i="13"/>
  <c r="F72" i="13" s="1"/>
  <c r="G72" i="13" s="1"/>
  <c r="B470" i="23" s="1"/>
  <c r="E22" i="13"/>
  <c r="F22" i="13" s="1"/>
  <c r="G22" i="13" s="1"/>
  <c r="B92" i="23" s="1"/>
  <c r="E46" i="13"/>
  <c r="F46" i="13" s="1"/>
  <c r="G46" i="13" s="1"/>
  <c r="B555" i="23" s="1"/>
  <c r="E69" i="13"/>
  <c r="F69" i="13" s="1"/>
  <c r="G69" i="13" s="1"/>
  <c r="B466" i="23" s="1"/>
  <c r="E63" i="13"/>
  <c r="F63" i="13" s="1"/>
  <c r="G63" i="13" s="1"/>
  <c r="B459" i="23" s="1"/>
  <c r="E61" i="13"/>
  <c r="F61" i="13" s="1"/>
  <c r="G61" i="13" s="1"/>
  <c r="B457" i="23" s="1"/>
  <c r="E32" i="13"/>
  <c r="F32" i="13" s="1"/>
  <c r="G32" i="13" s="1"/>
  <c r="B139" i="23" s="1"/>
  <c r="E6" i="13"/>
  <c r="F6" i="13" s="1"/>
  <c r="G6" i="13" s="1"/>
  <c r="B26" i="23" s="1"/>
  <c r="E4" i="13"/>
  <c r="F4" i="13" s="1"/>
  <c r="G4" i="13" s="1"/>
  <c r="B7" i="23" s="1"/>
  <c r="E118" i="13"/>
  <c r="F118" i="13" s="1"/>
  <c r="G118" i="13" s="1"/>
  <c r="B551" i="23" s="1"/>
  <c r="E110" i="13"/>
  <c r="F110" i="13" s="1"/>
  <c r="G110" i="13" s="1"/>
  <c r="B540" i="23" s="1"/>
  <c r="E108" i="13"/>
  <c r="F108" i="13" s="1"/>
  <c r="G108" i="13" s="1"/>
  <c r="B538" i="23" s="1"/>
  <c r="E96" i="13"/>
  <c r="F96" i="13" s="1"/>
  <c r="G96" i="13" s="1"/>
  <c r="B522" i="23" s="1"/>
  <c r="E95" i="13"/>
  <c r="F95" i="13" s="1"/>
  <c r="G95" i="13" s="1"/>
  <c r="B520" i="23" s="1"/>
  <c r="E83" i="13"/>
  <c r="F83" i="13" s="1"/>
  <c r="G83" i="13" s="1"/>
  <c r="B506" i="23" s="1"/>
  <c r="E37" i="13"/>
  <c r="F37" i="13" s="1"/>
  <c r="G37" i="13" s="1"/>
  <c r="B504" i="23" s="1"/>
  <c r="E26" i="13"/>
  <c r="F26" i="13" s="1"/>
  <c r="G26" i="13" s="1"/>
  <c r="B82" i="23" s="1"/>
  <c r="E90" i="13"/>
  <c r="F90" i="13" s="1"/>
  <c r="G90" i="13" s="1"/>
  <c r="B514" i="23" s="1"/>
  <c r="E74" i="13"/>
  <c r="F74" i="13" s="1"/>
  <c r="G74" i="13" s="1"/>
  <c r="B496" i="23" s="1"/>
  <c r="E13" i="13"/>
  <c r="F13" i="13" s="1"/>
  <c r="G13" i="13" s="1"/>
  <c r="B67" i="23" s="1"/>
  <c r="E67" i="13"/>
  <c r="F67" i="13" s="1"/>
  <c r="G67" i="13" s="1"/>
  <c r="B464" i="23" s="1"/>
  <c r="E27" i="13"/>
  <c r="F27" i="13" s="1"/>
  <c r="G27" i="13" s="1"/>
  <c r="B136" i="23" s="1"/>
  <c r="E9" i="13"/>
  <c r="F9" i="13" s="1"/>
  <c r="G9" i="13" s="1"/>
  <c r="B6" i="23" s="1"/>
  <c r="E124" i="13"/>
  <c r="F124" i="13" s="1"/>
  <c r="G124" i="13" s="1"/>
  <c r="B558" i="23" s="1"/>
  <c r="E114" i="13"/>
  <c r="F114" i="13" s="1"/>
  <c r="G114" i="13" s="1"/>
  <c r="B547" i="23" s="1"/>
  <c r="E97" i="13"/>
  <c r="F97" i="13" s="1"/>
  <c r="G97" i="13" s="1"/>
  <c r="B524" i="23" s="1"/>
  <c r="E112" i="13"/>
  <c r="F112" i="13" s="1"/>
  <c r="G112" i="13" s="1"/>
  <c r="B544" i="23" s="1"/>
  <c r="E86" i="13"/>
  <c r="F86" i="13" s="1"/>
  <c r="G86" i="13" s="1"/>
  <c r="B510" i="23" s="1"/>
  <c r="E84" i="13"/>
  <c r="F84" i="13" s="1"/>
  <c r="G84" i="13" s="1"/>
  <c r="B508" i="23" s="1"/>
  <c r="E36" i="13"/>
  <c r="F36" i="13" s="1"/>
  <c r="G36" i="13" s="1"/>
  <c r="B494" i="23" s="1"/>
  <c r="E64" i="13"/>
  <c r="F64" i="13" s="1"/>
  <c r="G64" i="13" s="1"/>
  <c r="B460" i="23" s="1"/>
  <c r="E50" i="13"/>
  <c r="F50" i="13" s="1"/>
  <c r="G50" i="13" s="1"/>
  <c r="B445" i="23" s="1"/>
  <c r="E16" i="13"/>
  <c r="F16" i="13" s="1"/>
  <c r="G16" i="13" s="1"/>
  <c r="B55" i="23" s="1"/>
  <c r="E5" i="13"/>
  <c r="F5" i="13" s="1"/>
  <c r="G5" i="13" s="1"/>
  <c r="B8" i="23" s="1"/>
  <c r="E57" i="13"/>
  <c r="F57" i="13" s="1"/>
  <c r="G57" i="13" s="1"/>
  <c r="B453" i="23" s="1"/>
  <c r="E35" i="13"/>
  <c r="F35" i="13" s="1"/>
  <c r="G35" i="13" s="1"/>
  <c r="B469" i="23" s="1"/>
  <c r="E12" i="13"/>
  <c r="F12" i="13" s="1"/>
  <c r="G12" i="13" s="1"/>
  <c r="B65" i="23" s="1"/>
  <c r="E68" i="13"/>
  <c r="F68" i="13" s="1"/>
  <c r="G68" i="13" s="1"/>
  <c r="B465" i="23" s="1"/>
  <c r="E53" i="13"/>
  <c r="F53" i="13" s="1"/>
  <c r="G53" i="13" s="1"/>
  <c r="B449" i="23" s="1"/>
  <c r="E31" i="13"/>
  <c r="F31" i="13" s="1"/>
  <c r="G31" i="13" s="1"/>
  <c r="B138" i="23" s="1"/>
  <c r="E8" i="13"/>
  <c r="F8" i="13" s="1"/>
  <c r="G8" i="13" s="1"/>
  <c r="B66" i="23" s="1"/>
  <c r="E34" i="13"/>
  <c r="F34" i="13" s="1"/>
  <c r="G34" i="13" s="1"/>
  <c r="B461" i="23" s="1"/>
  <c r="E21" i="13"/>
  <c r="F21" i="13" s="1"/>
  <c r="G21" i="13" s="1"/>
  <c r="B86" i="23" s="1"/>
  <c r="E65" i="13"/>
  <c r="F65" i="13" s="1"/>
  <c r="G65" i="13" s="1"/>
  <c r="B462" i="23" s="1"/>
  <c r="E30" i="13"/>
  <c r="F30" i="13" s="1"/>
  <c r="G30" i="13" s="1"/>
  <c r="B137" i="23" s="1"/>
  <c r="E17" i="13"/>
  <c r="F17" i="13" s="1"/>
  <c r="G17" i="13" s="1"/>
  <c r="B64" i="23" s="1"/>
  <c r="E24" i="13"/>
  <c r="F24" i="13" s="1"/>
  <c r="G24" i="13" s="1"/>
  <c r="B119" i="23" s="1"/>
  <c r="E3" i="13"/>
  <c r="F3" i="13" s="1"/>
  <c r="G3" i="13" s="1"/>
  <c r="B2" i="23" s="1"/>
  <c r="E58" i="11"/>
  <c r="E121" i="11"/>
  <c r="E18" i="11"/>
  <c r="E126" i="11"/>
  <c r="E146" i="11"/>
  <c r="E129" i="11"/>
  <c r="E19" i="11"/>
  <c r="E27" i="11"/>
  <c r="E48" i="11"/>
  <c r="E149" i="11"/>
  <c r="E92" i="11"/>
  <c r="E83" i="11"/>
  <c r="E40" i="11"/>
  <c r="E49" i="11"/>
  <c r="E131" i="11"/>
  <c r="E122" i="11"/>
  <c r="E44" i="11"/>
  <c r="E79" i="11"/>
  <c r="E51" i="11"/>
  <c r="E38" i="11"/>
  <c r="E111" i="11"/>
  <c r="E101" i="11"/>
  <c r="E96" i="11"/>
  <c r="E91" i="11"/>
  <c r="E76" i="11"/>
  <c r="E70" i="11"/>
  <c r="E34" i="11"/>
  <c r="E57" i="11"/>
  <c r="E54" i="11"/>
  <c r="E3" i="11"/>
  <c r="F3" i="11" s="1"/>
  <c r="G3" i="11" s="1"/>
  <c r="E148" i="11"/>
  <c r="E124" i="11"/>
  <c r="E113" i="11"/>
  <c r="E103" i="11"/>
  <c r="E78" i="11"/>
  <c r="E50" i="11"/>
  <c r="E138" i="11"/>
  <c r="E127" i="11"/>
  <c r="E102" i="11"/>
  <c r="E93" i="11"/>
  <c r="E45" i="11"/>
  <c r="E59" i="11"/>
  <c r="E71" i="11"/>
  <c r="E69" i="11"/>
  <c r="E37" i="11"/>
  <c r="E137" i="11"/>
  <c r="E26" i="11"/>
  <c r="E85" i="11"/>
  <c r="E75" i="11"/>
  <c r="E52" i="11"/>
  <c r="E29" i="11"/>
  <c r="E147" i="11"/>
  <c r="E128" i="11"/>
  <c r="E114" i="11"/>
  <c r="E106" i="11"/>
  <c r="E104" i="11"/>
  <c r="E97" i="11"/>
  <c r="E87" i="11"/>
  <c r="E84" i="11"/>
  <c r="E74" i="11"/>
  <c r="E32" i="11"/>
  <c r="E135" i="11"/>
  <c r="E112" i="11"/>
  <c r="E82" i="11"/>
  <c r="E16" i="11"/>
  <c r="E142" i="11"/>
  <c r="E73" i="11"/>
  <c r="E20" i="11"/>
  <c r="E119" i="11"/>
  <c r="E90" i="11"/>
  <c r="E64" i="11"/>
  <c r="E100" i="11"/>
  <c r="E144" i="11"/>
  <c r="E133" i="11"/>
  <c r="E108" i="11"/>
  <c r="E68" i="11"/>
  <c r="E28" i="11"/>
  <c r="E116" i="11"/>
  <c r="B328" i="23" l="1"/>
  <c r="F24" i="11"/>
  <c r="G24" i="11" s="1"/>
  <c r="F21" i="11"/>
  <c r="G21" i="11" s="1"/>
  <c r="F25" i="11"/>
  <c r="G25" i="11" s="1"/>
  <c r="F86" i="11"/>
  <c r="G86" i="11" s="1"/>
  <c r="F140" i="11"/>
  <c r="G140" i="11" s="1"/>
  <c r="F42" i="11"/>
  <c r="G42" i="11" s="1"/>
  <c r="F94" i="11"/>
  <c r="G94" i="11" s="1"/>
  <c r="F62" i="11"/>
  <c r="G62" i="11" s="1"/>
  <c r="F123" i="11"/>
  <c r="G123" i="11" s="1"/>
  <c r="G6" i="11"/>
  <c r="G7" i="11"/>
  <c r="B39" i="23" s="1"/>
  <c r="F61" i="11"/>
  <c r="G61" i="11" s="1"/>
  <c r="F125" i="11"/>
  <c r="G125" i="11" s="1"/>
  <c r="B409" i="23" s="1"/>
  <c r="F105" i="11"/>
  <c r="G105" i="11" s="1"/>
  <c r="F109" i="11"/>
  <c r="G109" i="11" s="1"/>
  <c r="F30" i="11"/>
  <c r="G30" i="11" s="1"/>
  <c r="F26" i="11"/>
  <c r="G26" i="11" s="1"/>
  <c r="F126" i="11"/>
  <c r="G126" i="11" s="1"/>
  <c r="F27" i="11"/>
  <c r="G27" i="11" s="1"/>
  <c r="B365" i="23" s="1"/>
  <c r="F58" i="11"/>
  <c r="G58" i="11" s="1"/>
  <c r="F31" i="11"/>
  <c r="G31" i="11" s="1"/>
  <c r="B113" i="23" s="1"/>
  <c r="F99" i="11"/>
  <c r="G99" i="11" s="1"/>
  <c r="F130" i="11"/>
  <c r="G130" i="11" s="1"/>
  <c r="F47" i="11"/>
  <c r="G47" i="11" s="1"/>
  <c r="F141" i="11"/>
  <c r="G141" i="11" s="1"/>
  <c r="F41" i="11"/>
  <c r="G41" i="11" s="1"/>
  <c r="F72" i="11"/>
  <c r="G72" i="11" s="1"/>
  <c r="F133" i="11"/>
  <c r="G133" i="11" s="1"/>
  <c r="F142" i="11"/>
  <c r="G142" i="11" s="1"/>
  <c r="F87" i="11"/>
  <c r="G87" i="11" s="1"/>
  <c r="F52" i="11"/>
  <c r="G52" i="11" s="1"/>
  <c r="F71" i="11"/>
  <c r="G71" i="11" s="1"/>
  <c r="G13" i="11"/>
  <c r="F57" i="11"/>
  <c r="G57" i="11" s="1"/>
  <c r="G14" i="11"/>
  <c r="B422" i="23" s="1"/>
  <c r="F40" i="11"/>
  <c r="G40" i="11" s="1"/>
  <c r="F19" i="11"/>
  <c r="G19" i="11" s="1"/>
  <c r="F144" i="11"/>
  <c r="G144" i="11" s="1"/>
  <c r="B439" i="23" s="1"/>
  <c r="F16" i="11"/>
  <c r="G16" i="11" s="1"/>
  <c r="F97" i="11"/>
  <c r="G97" i="11" s="1"/>
  <c r="F75" i="11"/>
  <c r="G75" i="11" s="1"/>
  <c r="F59" i="11"/>
  <c r="G59" i="11" s="1"/>
  <c r="F78" i="11"/>
  <c r="G78" i="11" s="1"/>
  <c r="F34" i="11"/>
  <c r="G34" i="11" s="1"/>
  <c r="F38" i="11"/>
  <c r="G38" i="11" s="1"/>
  <c r="F83" i="11"/>
  <c r="G83" i="11" s="1"/>
  <c r="B352" i="23" s="1"/>
  <c r="F129" i="11"/>
  <c r="G129" i="11" s="1"/>
  <c r="G8" i="11"/>
  <c r="F100" i="11"/>
  <c r="G100" i="11" s="1"/>
  <c r="F82" i="11"/>
  <c r="G82" i="11" s="1"/>
  <c r="F104" i="11"/>
  <c r="G104" i="11" s="1"/>
  <c r="B385" i="23" s="1"/>
  <c r="F85" i="11"/>
  <c r="G85" i="11" s="1"/>
  <c r="F45" i="11"/>
  <c r="G45" i="11" s="1"/>
  <c r="F103" i="11"/>
  <c r="G103" i="11" s="1"/>
  <c r="F70" i="11"/>
  <c r="G70" i="11" s="1"/>
  <c r="F51" i="11"/>
  <c r="G51" i="11" s="1"/>
  <c r="F92" i="11"/>
  <c r="G92" i="11" s="1"/>
  <c r="F146" i="11"/>
  <c r="G146" i="11" s="1"/>
  <c r="B441" i="23" s="1"/>
  <c r="F116" i="11"/>
  <c r="G116" i="11" s="1"/>
  <c r="F64" i="11"/>
  <c r="G64" i="11" s="1"/>
  <c r="F112" i="11"/>
  <c r="G112" i="11" s="1"/>
  <c r="F106" i="11"/>
  <c r="G106" i="11" s="1"/>
  <c r="B387" i="23" s="1"/>
  <c r="F93" i="11"/>
  <c r="G93" i="11" s="1"/>
  <c r="F113" i="11"/>
  <c r="G113" i="11" s="1"/>
  <c r="F76" i="11"/>
  <c r="G76" i="11" s="1"/>
  <c r="F79" i="11"/>
  <c r="G79" i="11" s="1"/>
  <c r="F149" i="11"/>
  <c r="G149" i="11" s="1"/>
  <c r="B444" i="23" s="1"/>
  <c r="F139" i="11"/>
  <c r="G139" i="11" s="1"/>
  <c r="F56" i="11"/>
  <c r="G56" i="11" s="1"/>
  <c r="F60" i="11"/>
  <c r="G60" i="11" s="1"/>
  <c r="B343" i="23" s="1"/>
  <c r="F88" i="11"/>
  <c r="G88" i="11" s="1"/>
  <c r="F98" i="11"/>
  <c r="G98" i="11" s="1"/>
  <c r="F110" i="11"/>
  <c r="G110" i="11" s="1"/>
  <c r="F107" i="11"/>
  <c r="G107" i="11" s="1"/>
  <c r="F28" i="11"/>
  <c r="G28" i="11" s="1"/>
  <c r="F90" i="11"/>
  <c r="G90" i="11" s="1"/>
  <c r="F135" i="11"/>
  <c r="G135" i="11" s="1"/>
  <c r="F114" i="11"/>
  <c r="G114" i="11" s="1"/>
  <c r="B402" i="23" s="1"/>
  <c r="F137" i="11"/>
  <c r="G137" i="11" s="1"/>
  <c r="F102" i="11"/>
  <c r="G102" i="11" s="1"/>
  <c r="F124" i="11"/>
  <c r="G124" i="11" s="1"/>
  <c r="F91" i="11"/>
  <c r="G91" i="11" s="1"/>
  <c r="F44" i="11"/>
  <c r="G44" i="11" s="1"/>
  <c r="F48" i="11"/>
  <c r="G48" i="11" s="1"/>
  <c r="F18" i="11"/>
  <c r="G18" i="11" s="1"/>
  <c r="G5" i="11"/>
  <c r="F119" i="11"/>
  <c r="G119" i="11" s="1"/>
  <c r="F32" i="11"/>
  <c r="G32" i="11" s="1"/>
  <c r="F128" i="11"/>
  <c r="G128" i="11" s="1"/>
  <c r="B414" i="23" s="1"/>
  <c r="G2" i="11"/>
  <c r="B3" i="23" s="1"/>
  <c r="F127" i="11"/>
  <c r="G127" i="11" s="1"/>
  <c r="F148" i="11"/>
  <c r="G148" i="11" s="1"/>
  <c r="B443" i="23" s="1"/>
  <c r="F96" i="11"/>
  <c r="G96" i="11" s="1"/>
  <c r="F122" i="11"/>
  <c r="G122" i="11" s="1"/>
  <c r="G11" i="11"/>
  <c r="B49" i="23" s="1"/>
  <c r="F121" i="11"/>
  <c r="G121" i="11" s="1"/>
  <c r="B403" i="23" s="1"/>
  <c r="F68" i="11"/>
  <c r="G68" i="11" s="1"/>
  <c r="F20" i="11"/>
  <c r="G20" i="11" s="1"/>
  <c r="F74" i="11"/>
  <c r="G74" i="11" s="1"/>
  <c r="F147" i="11"/>
  <c r="G147" i="11" s="1"/>
  <c r="B442" i="23" s="1"/>
  <c r="F37" i="11"/>
  <c r="G37" i="11" s="1"/>
  <c r="B114" i="23" s="1"/>
  <c r="F138" i="11"/>
  <c r="G138" i="11" s="1"/>
  <c r="B429" i="23" s="1"/>
  <c r="F101" i="11"/>
  <c r="G101" i="11" s="1"/>
  <c r="F131" i="11"/>
  <c r="G131" i="11" s="1"/>
  <c r="F108" i="11"/>
  <c r="G108" i="11" s="1"/>
  <c r="F73" i="11"/>
  <c r="G73" i="11" s="1"/>
  <c r="B338" i="23" s="1"/>
  <c r="F84" i="11"/>
  <c r="G84" i="11" s="1"/>
  <c r="F29" i="11"/>
  <c r="G29" i="11" s="1"/>
  <c r="B376" i="23" s="1"/>
  <c r="F69" i="11"/>
  <c r="G69" i="11" s="1"/>
  <c r="B333" i="23" s="1"/>
  <c r="F50" i="11"/>
  <c r="G50" i="11" s="1"/>
  <c r="F54" i="11"/>
  <c r="G54" i="11" s="1"/>
  <c r="F111" i="11"/>
  <c r="G111" i="11" s="1"/>
  <c r="F49" i="11"/>
  <c r="G49" i="11" s="1"/>
  <c r="G9" i="11"/>
  <c r="B34" i="23" s="1"/>
  <c r="F33" i="11"/>
  <c r="G33" i="11" s="1"/>
  <c r="F145" i="11"/>
  <c r="G145" i="11" s="1"/>
  <c r="B440" i="23" s="1"/>
  <c r="F143" i="11"/>
  <c r="G143" i="11" s="1"/>
  <c r="B438" i="23" s="1"/>
  <c r="F134" i="11"/>
  <c r="G134" i="11" s="1"/>
  <c r="B423" i="23" s="1"/>
  <c r="F63" i="11"/>
  <c r="G63" i="11" s="1"/>
  <c r="F67" i="11"/>
  <c r="G67" i="11" s="1"/>
  <c r="F77" i="11"/>
  <c r="G77" i="11" s="1"/>
  <c r="B345" i="23" s="1"/>
  <c r="F10" i="11"/>
  <c r="G10" i="11" s="1"/>
  <c r="F117" i="11"/>
  <c r="G117" i="11" s="1"/>
  <c r="F132" i="11"/>
  <c r="G132" i="11" s="1"/>
  <c r="F55" i="11"/>
  <c r="G55" i="11" s="1"/>
  <c r="F36" i="11"/>
  <c r="G36" i="11" s="1"/>
  <c r="F118" i="11"/>
  <c r="G118" i="11" s="1"/>
  <c r="F43" i="11"/>
  <c r="G43" i="11" s="1"/>
  <c r="F89" i="11"/>
  <c r="G89" i="11" s="1"/>
  <c r="B366" i="23" s="1"/>
  <c r="F80" i="11"/>
  <c r="G80" i="11" s="1"/>
  <c r="F15" i="11"/>
  <c r="G15" i="11" s="1"/>
  <c r="F22" i="11"/>
  <c r="G22" i="11" s="1"/>
  <c r="B88" i="23" s="1"/>
  <c r="G17" i="11"/>
  <c r="B76" i="23" s="1"/>
  <c r="F39" i="11"/>
  <c r="G39" i="11" s="1"/>
  <c r="B124" i="23" s="1"/>
  <c r="F65" i="11"/>
  <c r="G65" i="11" s="1"/>
  <c r="F46" i="11"/>
  <c r="G46" i="11" s="1"/>
  <c r="B399" i="23" s="1"/>
  <c r="F95" i="11"/>
  <c r="G95" i="11" s="1"/>
  <c r="C6" i="12"/>
  <c r="D6" i="12"/>
  <c r="C8" i="12"/>
  <c r="D8" i="12"/>
  <c r="C3" i="12"/>
  <c r="D3" i="12"/>
  <c r="C17" i="12"/>
  <c r="D17" i="12"/>
  <c r="C13" i="12"/>
  <c r="D13" i="12"/>
  <c r="C43" i="12"/>
  <c r="D43" i="12"/>
  <c r="C14" i="12"/>
  <c r="D14" i="12"/>
  <c r="C19" i="12"/>
  <c r="D19" i="12"/>
  <c r="C7" i="12"/>
  <c r="D7" i="12"/>
  <c r="D22" i="12"/>
  <c r="C12" i="12"/>
  <c r="D12" i="12"/>
  <c r="C2" i="12"/>
  <c r="D2" i="12"/>
  <c r="C9" i="12"/>
  <c r="D9" i="12"/>
  <c r="C41" i="12"/>
  <c r="D41" i="12"/>
  <c r="C4" i="12"/>
  <c r="D4" i="12"/>
  <c r="C10" i="12"/>
  <c r="D10" i="12"/>
  <c r="C18" i="12"/>
  <c r="D18" i="12"/>
  <c r="C30" i="12"/>
  <c r="D30" i="12"/>
  <c r="C25" i="12"/>
  <c r="D25" i="12"/>
  <c r="C15" i="12"/>
  <c r="D15" i="12"/>
  <c r="C24" i="12"/>
  <c r="D24" i="12"/>
  <c r="C36" i="12"/>
  <c r="D36" i="12"/>
  <c r="C44" i="12"/>
  <c r="D44" i="12"/>
  <c r="C27" i="12"/>
  <c r="D27" i="12"/>
  <c r="C16" i="12"/>
  <c r="D16" i="12"/>
  <c r="C35" i="12"/>
  <c r="D35" i="12"/>
  <c r="C40" i="12"/>
  <c r="D40" i="12"/>
  <c r="C31" i="12"/>
  <c r="D31" i="12"/>
  <c r="C20" i="12"/>
  <c r="D20" i="12"/>
  <c r="C21" i="12"/>
  <c r="D21" i="12"/>
  <c r="C51" i="12"/>
  <c r="D51" i="12"/>
  <c r="C52" i="12"/>
  <c r="D52" i="12"/>
  <c r="C47" i="12"/>
  <c r="D47" i="12"/>
  <c r="C53" i="12"/>
  <c r="D53" i="12"/>
  <c r="C11" i="12"/>
  <c r="D11" i="12"/>
  <c r="C70" i="12"/>
  <c r="D70" i="12"/>
  <c r="C71" i="12"/>
  <c r="D71" i="12"/>
  <c r="C23" i="12"/>
  <c r="D23" i="12"/>
  <c r="C54" i="12"/>
  <c r="D54" i="12"/>
  <c r="C92" i="12"/>
  <c r="D92" i="12"/>
  <c r="C93" i="12"/>
  <c r="D93" i="12"/>
  <c r="C94" i="12"/>
  <c r="D94" i="12"/>
  <c r="C95" i="12"/>
  <c r="D95" i="12"/>
  <c r="C96" i="12"/>
  <c r="D96" i="12"/>
  <c r="C97" i="12"/>
  <c r="D97" i="12"/>
  <c r="C38" i="12"/>
  <c r="D38" i="12"/>
  <c r="C98" i="12"/>
  <c r="D98" i="12"/>
  <c r="C72" i="12"/>
  <c r="D72" i="12"/>
  <c r="C55" i="12"/>
  <c r="D55" i="12"/>
  <c r="C99" i="12"/>
  <c r="D99" i="12"/>
  <c r="C100" i="12"/>
  <c r="D100" i="12"/>
  <c r="C101" i="12"/>
  <c r="D101" i="12"/>
  <c r="C73" i="12"/>
  <c r="D73" i="12"/>
  <c r="C102" i="12"/>
  <c r="D102" i="12"/>
  <c r="C28" i="12"/>
  <c r="D28" i="12"/>
  <c r="C103" i="12"/>
  <c r="D103" i="12"/>
  <c r="C104" i="12"/>
  <c r="D104" i="12"/>
  <c r="C58" i="12"/>
  <c r="D58" i="12"/>
  <c r="C105" i="12"/>
  <c r="D105" i="12"/>
  <c r="C106" i="12"/>
  <c r="D106" i="12"/>
  <c r="C74" i="12"/>
  <c r="D74" i="12"/>
  <c r="C107" i="12"/>
  <c r="D107" i="12"/>
  <c r="C108" i="12"/>
  <c r="D108" i="12"/>
  <c r="C109" i="12"/>
  <c r="D109" i="12"/>
  <c r="C110" i="12"/>
  <c r="D110" i="12"/>
  <c r="C111" i="12"/>
  <c r="D111" i="12"/>
  <c r="C112" i="12"/>
  <c r="D112" i="12"/>
  <c r="C113" i="12"/>
  <c r="D113" i="12"/>
  <c r="C114" i="12"/>
  <c r="D114" i="12"/>
  <c r="C115" i="12"/>
  <c r="D115" i="12"/>
  <c r="C48" i="12"/>
  <c r="D48" i="12"/>
  <c r="C116" i="12"/>
  <c r="D116" i="12"/>
  <c r="C117" i="12"/>
  <c r="D117" i="12"/>
  <c r="C118" i="12"/>
  <c r="D118" i="12"/>
  <c r="C32" i="12"/>
  <c r="D32" i="12"/>
  <c r="C119" i="12"/>
  <c r="D119" i="12"/>
  <c r="C39" i="12"/>
  <c r="D39" i="12"/>
  <c r="C49" i="12"/>
  <c r="D49" i="12"/>
  <c r="C42" i="12"/>
  <c r="D42" i="12"/>
  <c r="C75" i="12"/>
  <c r="D75" i="12"/>
  <c r="C120" i="12"/>
  <c r="D120" i="12"/>
  <c r="C59" i="12"/>
  <c r="D59" i="12"/>
  <c r="C76" i="12"/>
  <c r="D76" i="12"/>
  <c r="C60" i="12"/>
  <c r="D60" i="12"/>
  <c r="C29" i="12"/>
  <c r="D29" i="12"/>
  <c r="C121" i="12"/>
  <c r="D121" i="12"/>
  <c r="C122" i="12"/>
  <c r="D122" i="12"/>
  <c r="C61" i="12"/>
  <c r="D61" i="12"/>
  <c r="C123" i="12"/>
  <c r="D123" i="12"/>
  <c r="C33" i="12"/>
  <c r="D33" i="12"/>
  <c r="C124" i="12"/>
  <c r="D124" i="12"/>
  <c r="C37" i="12"/>
  <c r="D37" i="12"/>
  <c r="C125" i="12"/>
  <c r="D125" i="12"/>
  <c r="C126" i="12"/>
  <c r="D126" i="12"/>
  <c r="C77" i="12"/>
  <c r="D77" i="12"/>
  <c r="C50" i="12"/>
  <c r="D50" i="12"/>
  <c r="C127" i="12"/>
  <c r="D127" i="12"/>
  <c r="C128" i="12"/>
  <c r="D128" i="12"/>
  <c r="C78" i="12"/>
  <c r="D78" i="12"/>
  <c r="C129" i="12"/>
  <c r="D129" i="12"/>
  <c r="C45" i="12"/>
  <c r="D45" i="12"/>
  <c r="C130" i="12"/>
  <c r="D130" i="12"/>
  <c r="C79" i="12"/>
  <c r="D79" i="12"/>
  <c r="C62" i="12"/>
  <c r="D62" i="12"/>
  <c r="C63" i="12"/>
  <c r="D63" i="12"/>
  <c r="C131" i="12"/>
  <c r="D131" i="12"/>
  <c r="C80" i="12"/>
  <c r="D80" i="12"/>
  <c r="C132" i="12"/>
  <c r="D132" i="12"/>
  <c r="C46" i="12"/>
  <c r="D46" i="12"/>
  <c r="C133" i="12"/>
  <c r="D133" i="12"/>
  <c r="C64" i="12"/>
  <c r="D64" i="12"/>
  <c r="C134" i="12"/>
  <c r="D134" i="12"/>
  <c r="C135" i="12"/>
  <c r="D135" i="12"/>
  <c r="C65" i="12"/>
  <c r="D65" i="12"/>
  <c r="C81" i="12"/>
  <c r="D81" i="12"/>
  <c r="C136" i="12"/>
  <c r="D136" i="12"/>
  <c r="C82" i="12"/>
  <c r="D82" i="12"/>
  <c r="C137" i="12"/>
  <c r="D137" i="12"/>
  <c r="C66" i="12"/>
  <c r="D66" i="12"/>
  <c r="C67" i="12"/>
  <c r="D67" i="12"/>
  <c r="C138" i="12"/>
  <c r="D138" i="12"/>
  <c r="C139" i="12"/>
  <c r="D139" i="12"/>
  <c r="C140" i="12"/>
  <c r="D140" i="12"/>
  <c r="C83" i="12"/>
  <c r="D83" i="12"/>
  <c r="C141" i="12"/>
  <c r="D141" i="12"/>
  <c r="C68" i="12"/>
  <c r="D68" i="12"/>
  <c r="C142" i="12"/>
  <c r="D142" i="12"/>
  <c r="C26" i="12"/>
  <c r="D26" i="12"/>
  <c r="C84" i="12"/>
  <c r="D84" i="12"/>
  <c r="C85" i="12"/>
  <c r="D85" i="12"/>
  <c r="C86" i="12"/>
  <c r="D86" i="12"/>
  <c r="C143" i="12"/>
  <c r="D143" i="12"/>
  <c r="C87" i="12"/>
  <c r="D87" i="12"/>
  <c r="C144" i="12"/>
  <c r="D144" i="12"/>
  <c r="C145" i="12"/>
  <c r="D145" i="12"/>
  <c r="C146" i="12"/>
  <c r="D146" i="12"/>
  <c r="C147" i="12"/>
  <c r="D147" i="12"/>
  <c r="C34" i="12"/>
  <c r="D34" i="12"/>
  <c r="C56" i="12"/>
  <c r="D56" i="12"/>
  <c r="C88" i="12"/>
  <c r="D88" i="12"/>
  <c r="C69" i="12"/>
  <c r="D69" i="12"/>
  <c r="C57" i="12"/>
  <c r="D57" i="12"/>
  <c r="C89" i="12"/>
  <c r="D89" i="12"/>
  <c r="C90" i="12"/>
  <c r="D90" i="12"/>
  <c r="C91" i="12"/>
  <c r="D91" i="12"/>
  <c r="C148" i="12"/>
  <c r="D148" i="12"/>
  <c r="C2" i="13"/>
  <c r="D2" i="13"/>
  <c r="C2" i="14"/>
  <c r="D2" i="14"/>
  <c r="C16" i="14"/>
  <c r="D16" i="14"/>
  <c r="C23" i="14"/>
  <c r="D23" i="14"/>
  <c r="C11" i="14"/>
  <c r="D11" i="14"/>
  <c r="C19" i="14"/>
  <c r="D19" i="14"/>
  <c r="C3" i="14"/>
  <c r="D3" i="14"/>
  <c r="C12" i="14"/>
  <c r="D12" i="14"/>
  <c r="C5" i="14"/>
  <c r="D5" i="14"/>
  <c r="C7" i="14"/>
  <c r="D7" i="14"/>
  <c r="C6" i="14"/>
  <c r="D6" i="14"/>
  <c r="C14" i="14"/>
  <c r="D14" i="14"/>
  <c r="C20" i="14"/>
  <c r="D20" i="14"/>
  <c r="C32" i="14"/>
  <c r="D32" i="14"/>
  <c r="C8" i="14"/>
  <c r="D8" i="14"/>
  <c r="C17" i="14"/>
  <c r="D17" i="14"/>
  <c r="C27" i="14"/>
  <c r="D27" i="14"/>
  <c r="C4" i="14"/>
  <c r="D4" i="14"/>
  <c r="C13" i="14"/>
  <c r="D13" i="14"/>
  <c r="C10" i="14"/>
  <c r="D10" i="14"/>
  <c r="C28" i="14"/>
  <c r="D28" i="14"/>
  <c r="C21" i="14"/>
  <c r="D21" i="14"/>
  <c r="C24" i="14"/>
  <c r="D24" i="14"/>
  <c r="C35" i="14"/>
  <c r="D35" i="14"/>
  <c r="C33" i="14"/>
  <c r="D33" i="14"/>
  <c r="C15" i="14"/>
  <c r="D15" i="14"/>
  <c r="C25" i="14"/>
  <c r="D25" i="14"/>
  <c r="C44" i="14"/>
  <c r="D44" i="14"/>
  <c r="C37" i="14"/>
  <c r="D37" i="14"/>
  <c r="C36" i="14"/>
  <c r="D36" i="14"/>
  <c r="C30" i="14"/>
  <c r="D30" i="14"/>
  <c r="C45" i="14"/>
  <c r="D45" i="14"/>
  <c r="C31" i="14"/>
  <c r="D31" i="14"/>
  <c r="C29" i="14"/>
  <c r="D29" i="14"/>
  <c r="C26" i="14"/>
  <c r="D26" i="14"/>
  <c r="C50" i="14"/>
  <c r="D50" i="14"/>
  <c r="C51" i="14"/>
  <c r="D51" i="14"/>
  <c r="C52" i="14"/>
  <c r="D52" i="14"/>
  <c r="C53" i="14"/>
  <c r="D53" i="14"/>
  <c r="C34" i="14"/>
  <c r="D34" i="14"/>
  <c r="C46" i="14"/>
  <c r="D46" i="14"/>
  <c r="C47" i="14"/>
  <c r="D47" i="14"/>
  <c r="C22" i="14"/>
  <c r="D22" i="14"/>
  <c r="C69" i="14"/>
  <c r="D69" i="14"/>
  <c r="C70" i="14"/>
  <c r="D70" i="14"/>
  <c r="C71" i="14"/>
  <c r="D71" i="14"/>
  <c r="C72" i="14"/>
  <c r="D72" i="14"/>
  <c r="C54" i="14"/>
  <c r="D54" i="14"/>
  <c r="C55" i="14"/>
  <c r="D55" i="14"/>
  <c r="C38" i="14"/>
  <c r="D38" i="14"/>
  <c r="C48" i="14"/>
  <c r="D48" i="14"/>
  <c r="C56" i="14"/>
  <c r="D56" i="14"/>
  <c r="C57" i="14"/>
  <c r="D57" i="14"/>
  <c r="C73" i="14"/>
  <c r="D73" i="14"/>
  <c r="C74" i="14"/>
  <c r="D74" i="14"/>
  <c r="C75" i="14"/>
  <c r="D75" i="14"/>
  <c r="C49" i="14"/>
  <c r="D49" i="14"/>
  <c r="C76" i="14"/>
  <c r="D76" i="14"/>
  <c r="C77" i="14"/>
  <c r="D77" i="14"/>
  <c r="C78" i="14"/>
  <c r="D78" i="14"/>
  <c r="C79" i="14"/>
  <c r="D79" i="14"/>
  <c r="C58" i="14"/>
  <c r="D58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40" i="14"/>
  <c r="D40" i="14"/>
  <c r="C18" i="14"/>
  <c r="D18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59" i="14"/>
  <c r="D59" i="14"/>
  <c r="C96" i="14"/>
  <c r="D96" i="14"/>
  <c r="C60" i="14"/>
  <c r="D60" i="14"/>
  <c r="C97" i="14"/>
  <c r="D97" i="14"/>
  <c r="C98" i="14"/>
  <c r="D98" i="14"/>
  <c r="C61" i="14"/>
  <c r="D61" i="14"/>
  <c r="C99" i="14"/>
  <c r="D99" i="14"/>
  <c r="C100" i="14"/>
  <c r="D100" i="14"/>
  <c r="C101" i="14"/>
  <c r="D101" i="14"/>
  <c r="C62" i="14"/>
  <c r="D62" i="14"/>
  <c r="C102" i="14"/>
  <c r="D102" i="14"/>
  <c r="C103" i="14"/>
  <c r="D103" i="14"/>
  <c r="C104" i="14"/>
  <c r="D104" i="14"/>
  <c r="C105" i="14"/>
  <c r="D105" i="14"/>
  <c r="C39" i="14"/>
  <c r="D39" i="14"/>
  <c r="C63" i="14"/>
  <c r="D63" i="14"/>
  <c r="C41" i="14"/>
  <c r="D41" i="14"/>
  <c r="C106" i="14"/>
  <c r="D106" i="14"/>
  <c r="C107" i="14"/>
  <c r="D107" i="14"/>
  <c r="C108" i="14"/>
  <c r="D108" i="14"/>
  <c r="C109" i="14"/>
  <c r="D109" i="14"/>
  <c r="C110" i="14"/>
  <c r="D110" i="14"/>
  <c r="C42" i="14"/>
  <c r="D42" i="14"/>
  <c r="C111" i="14"/>
  <c r="D111" i="14"/>
  <c r="C112" i="14"/>
  <c r="D112" i="14"/>
  <c r="C113" i="14"/>
  <c r="D113" i="14"/>
  <c r="C114" i="14"/>
  <c r="D114" i="14"/>
  <c r="C115" i="14"/>
  <c r="D115" i="14"/>
  <c r="C64" i="14"/>
  <c r="D64" i="14"/>
  <c r="C116" i="14"/>
  <c r="D116" i="14"/>
  <c r="C117" i="14"/>
  <c r="D117" i="14"/>
  <c r="C118" i="14"/>
  <c r="D118" i="14"/>
  <c r="C119" i="14"/>
  <c r="D119" i="14"/>
  <c r="C120" i="14"/>
  <c r="D120" i="14"/>
  <c r="C65" i="14"/>
  <c r="D65" i="14"/>
  <c r="C121" i="14"/>
  <c r="D121" i="14"/>
  <c r="C122" i="14"/>
  <c r="D122" i="14"/>
  <c r="C123" i="14"/>
  <c r="D123" i="14"/>
  <c r="C66" i="14"/>
  <c r="D66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67" i="14"/>
  <c r="D67" i="14"/>
  <c r="C132" i="14"/>
  <c r="D132" i="14"/>
  <c r="C133" i="14"/>
  <c r="D133" i="14"/>
  <c r="C43" i="14"/>
  <c r="D43" i="14"/>
  <c r="C68" i="14"/>
  <c r="D68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B410" i="23" l="1"/>
  <c r="B380" i="23"/>
  <c r="B427" i="23"/>
  <c r="B377" i="23"/>
  <c r="B425" i="23"/>
  <c r="B40" i="23"/>
  <c r="B401" i="23"/>
  <c r="B360" i="23"/>
  <c r="B134" i="23"/>
  <c r="B115" i="23"/>
  <c r="B435" i="23"/>
  <c r="B44" i="23"/>
  <c r="B398" i="23"/>
  <c r="B95" i="23"/>
  <c r="B412" i="23"/>
  <c r="B356" i="23"/>
  <c r="B388" i="23"/>
  <c r="B346" i="23"/>
  <c r="B406" i="23"/>
  <c r="B353" i="23"/>
  <c r="E77" i="14"/>
  <c r="F77" i="14" s="1"/>
  <c r="G77" i="14" s="1"/>
  <c r="B249" i="23" s="1"/>
  <c r="E24" i="14"/>
  <c r="F24" i="14" s="1"/>
  <c r="G24" i="14" s="1"/>
  <c r="B107" i="23" s="1"/>
  <c r="B337" i="23"/>
  <c r="B20" i="23"/>
  <c r="B372" i="23"/>
  <c r="B334" i="23"/>
  <c r="B433" i="23"/>
  <c r="B339" i="23"/>
  <c r="B430" i="23"/>
  <c r="B413" i="23"/>
  <c r="B389" i="23"/>
  <c r="B408" i="23"/>
  <c r="B351" i="23"/>
  <c r="B342" i="23"/>
  <c r="B327" i="23"/>
  <c r="B421" i="23"/>
  <c r="B368" i="23"/>
  <c r="B397" i="23"/>
  <c r="B367" i="23"/>
  <c r="B135" i="23"/>
  <c r="B393" i="23"/>
  <c r="B374" i="23"/>
  <c r="B391" i="23"/>
  <c r="B326" i="23"/>
  <c r="B80" i="23"/>
  <c r="B420" i="23"/>
  <c r="B382" i="23"/>
  <c r="B426" i="23"/>
  <c r="B384" i="23"/>
  <c r="B362" i="23"/>
  <c r="B386" i="23"/>
  <c r="B332" i="23"/>
  <c r="B350" i="23"/>
  <c r="B354" i="23"/>
  <c r="B431" i="23"/>
  <c r="B355" i="23"/>
  <c r="B437" i="23"/>
  <c r="B331" i="23"/>
  <c r="B370" i="23"/>
  <c r="B361" i="23"/>
  <c r="B348" i="23"/>
  <c r="B117" i="23"/>
  <c r="B336" i="23"/>
  <c r="B432" i="23"/>
  <c r="B418" i="23"/>
  <c r="B349" i="23"/>
  <c r="B424" i="23"/>
  <c r="B347" i="23"/>
  <c r="B141" i="23"/>
  <c r="B411" i="23"/>
  <c r="B78" i="23"/>
  <c r="B57" i="23"/>
  <c r="B112" i="23"/>
  <c r="B329" i="23"/>
  <c r="B392" i="23"/>
  <c r="B419" i="23"/>
  <c r="B140" i="23"/>
  <c r="B383" i="23"/>
  <c r="B341" i="23"/>
  <c r="B369" i="23"/>
  <c r="B381" i="23"/>
  <c r="B340" i="23"/>
  <c r="B14" i="23"/>
  <c r="B434" i="23"/>
  <c r="B364" i="23"/>
  <c r="B405" i="23"/>
  <c r="B375" i="23"/>
  <c r="B416" i="23"/>
  <c r="B400" i="23"/>
  <c r="B428" i="23"/>
  <c r="B379" i="23"/>
  <c r="B394" i="23"/>
  <c r="B344" i="23"/>
  <c r="B41" i="23"/>
  <c r="B378" i="23"/>
  <c r="B335" i="23"/>
  <c r="B407" i="23"/>
  <c r="B79" i="23"/>
  <c r="B371" i="23"/>
  <c r="B396" i="23"/>
  <c r="B116" i="23"/>
  <c r="B330" i="23"/>
  <c r="B90" i="23"/>
  <c r="B436" i="23"/>
  <c r="B404" i="23"/>
  <c r="B395" i="23"/>
  <c r="B363" i="23"/>
  <c r="B415" i="23"/>
  <c r="B35" i="23"/>
  <c r="B143" i="23"/>
  <c r="B417" i="23"/>
  <c r="B390" i="23"/>
  <c r="B373" i="23"/>
  <c r="B10" i="23"/>
  <c r="B5" i="23"/>
  <c r="E101" i="14"/>
  <c r="F101" i="14" s="1"/>
  <c r="G101" i="14" s="1"/>
  <c r="B273" i="23" s="1"/>
  <c r="E64" i="14"/>
  <c r="F64" i="14" s="1"/>
  <c r="G64" i="14" s="1"/>
  <c r="B236" i="23" s="1"/>
  <c r="E33" i="14"/>
  <c r="F33" i="14" s="1"/>
  <c r="G33" i="14" s="1"/>
  <c r="B87" i="23" s="1"/>
  <c r="E86" i="14"/>
  <c r="F86" i="14" s="1"/>
  <c r="G86" i="14" s="1"/>
  <c r="B258" i="23" s="1"/>
  <c r="E31" i="14"/>
  <c r="F31" i="14" s="1"/>
  <c r="G31" i="14" s="1"/>
  <c r="B93" i="23" s="1"/>
  <c r="E10" i="12"/>
  <c r="E19" i="12"/>
  <c r="E47" i="12"/>
  <c r="E92" i="14"/>
  <c r="F92" i="14" s="1"/>
  <c r="G92" i="14" s="1"/>
  <c r="B264" i="23" s="1"/>
  <c r="E104" i="14"/>
  <c r="F104" i="14" s="1"/>
  <c r="G104" i="14" s="1"/>
  <c r="B276" i="23" s="1"/>
  <c r="E38" i="14"/>
  <c r="F38" i="14" s="1"/>
  <c r="G38" i="14" s="1"/>
  <c r="B132" i="23" s="1"/>
  <c r="E88" i="14"/>
  <c r="F88" i="14" s="1"/>
  <c r="G88" i="14" s="1"/>
  <c r="B260" i="23" s="1"/>
  <c r="E99" i="14"/>
  <c r="F99" i="14" s="1"/>
  <c r="G99" i="14" s="1"/>
  <c r="B271" i="23" s="1"/>
  <c r="E119" i="14"/>
  <c r="F119" i="14" s="1"/>
  <c r="G119" i="14" s="1"/>
  <c r="B302" i="23" s="1"/>
  <c r="E132" i="14"/>
  <c r="F132" i="14" s="1"/>
  <c r="G132" i="14" s="1"/>
  <c r="B315" i="23" s="1"/>
  <c r="E138" i="14"/>
  <c r="F138" i="14" s="1"/>
  <c r="G138" i="14" s="1"/>
  <c r="B322" i="23" s="1"/>
  <c r="E59" i="14"/>
  <c r="F59" i="14" s="1"/>
  <c r="G59" i="14" s="1"/>
  <c r="B231" i="23" s="1"/>
  <c r="E52" i="12"/>
  <c r="E70" i="14"/>
  <c r="F70" i="14" s="1"/>
  <c r="G70" i="14" s="1"/>
  <c r="B242" i="23" s="1"/>
  <c r="E11" i="14"/>
  <c r="F11" i="14" s="1"/>
  <c r="G11" i="14" s="1"/>
  <c r="B24" i="23" s="1"/>
  <c r="E85" i="14"/>
  <c r="F85" i="14" s="1"/>
  <c r="G85" i="14" s="1"/>
  <c r="B257" i="23" s="1"/>
  <c r="E51" i="14"/>
  <c r="F51" i="14" s="1"/>
  <c r="G51" i="14" s="1"/>
  <c r="B222" i="23" s="1"/>
  <c r="E82" i="14"/>
  <c r="F82" i="14" s="1"/>
  <c r="G82" i="14" s="1"/>
  <c r="B254" i="23" s="1"/>
  <c r="E55" i="14"/>
  <c r="F55" i="14" s="1"/>
  <c r="G55" i="14" s="1"/>
  <c r="B226" i="23" s="1"/>
  <c r="E93" i="14"/>
  <c r="F93" i="14" s="1"/>
  <c r="G93" i="14" s="1"/>
  <c r="B265" i="23" s="1"/>
  <c r="E98" i="14"/>
  <c r="F98" i="14" s="1"/>
  <c r="G98" i="14" s="1"/>
  <c r="B270" i="23" s="1"/>
  <c r="E125" i="14"/>
  <c r="F125" i="14" s="1"/>
  <c r="G125" i="14" s="1"/>
  <c r="B308" i="23" s="1"/>
  <c r="E137" i="14"/>
  <c r="F137" i="14" s="1"/>
  <c r="G137" i="14" s="1"/>
  <c r="B321" i="23" s="1"/>
  <c r="E61" i="14"/>
  <c r="F61" i="14" s="1"/>
  <c r="G61" i="14" s="1"/>
  <c r="B233" i="23" s="1"/>
  <c r="E57" i="14"/>
  <c r="F57" i="14" s="1"/>
  <c r="G57" i="14" s="1"/>
  <c r="B228" i="23" s="1"/>
  <c r="E67" i="14"/>
  <c r="F67" i="14" s="1"/>
  <c r="G67" i="14" s="1"/>
  <c r="B239" i="23" s="1"/>
  <c r="E48" i="14"/>
  <c r="F48" i="14" s="1"/>
  <c r="G48" i="14" s="1"/>
  <c r="B219" i="23" s="1"/>
  <c r="E13" i="14"/>
  <c r="F13" i="14" s="1"/>
  <c r="G13" i="14" s="1"/>
  <c r="B36" i="23" s="1"/>
  <c r="E49" i="14"/>
  <c r="F49" i="14" s="1"/>
  <c r="G49" i="14" s="1"/>
  <c r="B220" i="23" s="1"/>
  <c r="E79" i="14"/>
  <c r="F79" i="14" s="1"/>
  <c r="G79" i="14" s="1"/>
  <c r="B251" i="23" s="1"/>
  <c r="E42" i="14"/>
  <c r="F42" i="14" s="1"/>
  <c r="G42" i="14" s="1"/>
  <c r="B284" i="23" s="1"/>
  <c r="E53" i="14"/>
  <c r="F53" i="14" s="1"/>
  <c r="G53" i="14" s="1"/>
  <c r="B224" i="23" s="1"/>
  <c r="E87" i="14"/>
  <c r="F87" i="14" s="1"/>
  <c r="G87" i="14" s="1"/>
  <c r="B259" i="23" s="1"/>
  <c r="E126" i="14"/>
  <c r="F126" i="14" s="1"/>
  <c r="G126" i="14" s="1"/>
  <c r="B309" i="23" s="1"/>
  <c r="E129" i="14"/>
  <c r="F129" i="14" s="1"/>
  <c r="G129" i="14" s="1"/>
  <c r="B312" i="23" s="1"/>
  <c r="E134" i="14"/>
  <c r="F134" i="14" s="1"/>
  <c r="G134" i="14" s="1"/>
  <c r="B318" i="23" s="1"/>
  <c r="E28" i="14"/>
  <c r="F28" i="14" s="1"/>
  <c r="G28" i="14" s="1"/>
  <c r="B74" i="23" s="1"/>
  <c r="E27" i="14"/>
  <c r="F27" i="14" s="1"/>
  <c r="G27" i="14" s="1"/>
  <c r="B51" i="23" s="1"/>
  <c r="E123" i="14"/>
  <c r="F123" i="14" s="1"/>
  <c r="G123" i="14" s="1"/>
  <c r="B306" i="23" s="1"/>
  <c r="E25" i="14"/>
  <c r="F25" i="14" s="1"/>
  <c r="G25" i="14" s="1"/>
  <c r="B108" i="23" s="1"/>
  <c r="E71" i="12"/>
  <c r="E5" i="14"/>
  <c r="F5" i="14" s="1"/>
  <c r="G5" i="14" s="1"/>
  <c r="B32" i="23" s="1"/>
  <c r="E6" i="14"/>
  <c r="F6" i="14" s="1"/>
  <c r="G6" i="14" s="1"/>
  <c r="B45" i="23" s="1"/>
  <c r="E90" i="14"/>
  <c r="F90" i="14" s="1"/>
  <c r="G90" i="14" s="1"/>
  <c r="B262" i="23" s="1"/>
  <c r="E122" i="14"/>
  <c r="F122" i="14" s="1"/>
  <c r="G122" i="14" s="1"/>
  <c r="B305" i="23" s="1"/>
  <c r="E141" i="14"/>
  <c r="F141" i="14" s="1"/>
  <c r="G141" i="14" s="1"/>
  <c r="B325" i="23" s="1"/>
  <c r="E2" i="13"/>
  <c r="F2" i="13" s="1"/>
  <c r="G2" i="13" s="1"/>
  <c r="B4" i="23" s="1"/>
  <c r="E52" i="14"/>
  <c r="F52" i="14" s="1"/>
  <c r="G52" i="14" s="1"/>
  <c r="B223" i="23" s="1"/>
  <c r="E14" i="12"/>
  <c r="E122" i="12"/>
  <c r="E7" i="14"/>
  <c r="F7" i="14" s="1"/>
  <c r="G7" i="14" s="1"/>
  <c r="B19" i="23" s="1"/>
  <c r="E20" i="14"/>
  <c r="F20" i="14" s="1"/>
  <c r="G20" i="14" s="1"/>
  <c r="B47" i="23" s="1"/>
  <c r="E68" i="14"/>
  <c r="F68" i="14" s="1"/>
  <c r="G68" i="14" s="1"/>
  <c r="B240" i="23" s="1"/>
  <c r="E37" i="14"/>
  <c r="F37" i="14" s="1"/>
  <c r="G37" i="14" s="1"/>
  <c r="B131" i="23" s="1"/>
  <c r="E71" i="14"/>
  <c r="F71" i="14" s="1"/>
  <c r="G71" i="14" s="1"/>
  <c r="B243" i="23" s="1"/>
  <c r="E46" i="14"/>
  <c r="F46" i="14" s="1"/>
  <c r="G46" i="14" s="1"/>
  <c r="B217" i="23" s="1"/>
  <c r="E29" i="12"/>
  <c r="E92" i="12"/>
  <c r="E42" i="12"/>
  <c r="E28" i="12"/>
  <c r="E98" i="12"/>
  <c r="E20" i="12"/>
  <c r="E60" i="12"/>
  <c r="E147" i="12"/>
  <c r="E104" i="12"/>
  <c r="E55" i="12"/>
  <c r="E51" i="12"/>
  <c r="E44" i="12"/>
  <c r="E91" i="12"/>
  <c r="E121" i="12"/>
  <c r="E16" i="12"/>
  <c r="E76" i="12"/>
  <c r="E112" i="12"/>
  <c r="E105" i="12"/>
  <c r="E18" i="12"/>
  <c r="E2" i="12"/>
  <c r="F2" i="12" s="1"/>
  <c r="G2" i="12" s="1"/>
  <c r="B9" i="23" s="1"/>
  <c r="E119" i="12"/>
  <c r="E54" i="12"/>
  <c r="E50" i="12"/>
  <c r="E96" i="12"/>
  <c r="E140" i="12"/>
  <c r="E114" i="12"/>
  <c r="E74" i="12"/>
  <c r="E40" i="12"/>
  <c r="E80" i="12"/>
  <c r="E78" i="12"/>
  <c r="E120" i="12"/>
  <c r="E48" i="12"/>
  <c r="E109" i="12"/>
  <c r="E101" i="12"/>
  <c r="E15" i="12"/>
  <c r="E4" i="12"/>
  <c r="E13" i="12"/>
  <c r="E90" i="12"/>
  <c r="E134" i="12"/>
  <c r="E108" i="12"/>
  <c r="E103" i="12"/>
  <c r="E93" i="12"/>
  <c r="E70" i="12"/>
  <c r="E27" i="12"/>
  <c r="E7" i="12"/>
  <c r="E62" i="12"/>
  <c r="E61" i="12"/>
  <c r="E75" i="12"/>
  <c r="E117" i="12"/>
  <c r="E113" i="12"/>
  <c r="E100" i="12"/>
  <c r="E72" i="12"/>
  <c r="E25" i="12"/>
  <c r="E17" i="12"/>
  <c r="E56" i="12"/>
  <c r="E67" i="12"/>
  <c r="E39" i="12"/>
  <c r="E110" i="12"/>
  <c r="E95" i="12"/>
  <c r="E6" i="12"/>
  <c r="E81" i="12"/>
  <c r="E146" i="12"/>
  <c r="E69" i="12"/>
  <c r="E79" i="12"/>
  <c r="E64" i="12"/>
  <c r="E32" i="12"/>
  <c r="E106" i="12"/>
  <c r="E73" i="12"/>
  <c r="E97" i="12"/>
  <c r="E11" i="12"/>
  <c r="E31" i="12"/>
  <c r="E24" i="12"/>
  <c r="E12" i="12"/>
  <c r="E86" i="12"/>
  <c r="E26" i="12"/>
  <c r="E124" i="12"/>
  <c r="E89" i="12"/>
  <c r="E145" i="12"/>
  <c r="E142" i="12"/>
  <c r="E66" i="12"/>
  <c r="E88" i="12"/>
  <c r="E143" i="12"/>
  <c r="E83" i="12"/>
  <c r="E136" i="12"/>
  <c r="E132" i="12"/>
  <c r="E129" i="12"/>
  <c r="E77" i="12"/>
  <c r="E37" i="12"/>
  <c r="E116" i="12"/>
  <c r="E9" i="12"/>
  <c r="E3" i="12"/>
  <c r="E87" i="12"/>
  <c r="E141" i="12"/>
  <c r="E138" i="12"/>
  <c r="E135" i="12"/>
  <c r="E63" i="12"/>
  <c r="E127" i="12"/>
  <c r="E84" i="12"/>
  <c r="E82" i="12"/>
  <c r="E46" i="12"/>
  <c r="E45" i="12"/>
  <c r="E123" i="12"/>
  <c r="E43" i="12"/>
  <c r="E126" i="12"/>
  <c r="E22" i="12"/>
  <c r="E125" i="12"/>
  <c r="E41" i="12"/>
  <c r="E8" i="12"/>
  <c r="E148" i="12"/>
  <c r="E57" i="12"/>
  <c r="E34" i="12"/>
  <c r="E144" i="12"/>
  <c r="E85" i="12"/>
  <c r="E68" i="12"/>
  <c r="E139" i="12"/>
  <c r="E137" i="12"/>
  <c r="E65" i="12"/>
  <c r="E133" i="12"/>
  <c r="E131" i="12"/>
  <c r="E130" i="12"/>
  <c r="E128" i="12"/>
  <c r="E118" i="12"/>
  <c r="E115" i="12"/>
  <c r="E59" i="12"/>
  <c r="E111" i="12"/>
  <c r="E33" i="12"/>
  <c r="E49" i="12"/>
  <c r="E107" i="12"/>
  <c r="E58" i="12"/>
  <c r="E102" i="12"/>
  <c r="E99" i="12"/>
  <c r="E38" i="12"/>
  <c r="E94" i="12"/>
  <c r="E23" i="12"/>
  <c r="E53" i="12"/>
  <c r="E21" i="12"/>
  <c r="E35" i="12"/>
  <c r="E36" i="12"/>
  <c r="E30" i="12"/>
  <c r="E19" i="14"/>
  <c r="F19" i="14" s="1"/>
  <c r="G19" i="14" s="1"/>
  <c r="B31" i="23" s="1"/>
  <c r="E21" i="14"/>
  <c r="F21" i="14" s="1"/>
  <c r="G21" i="14" s="1"/>
  <c r="B75" i="23" s="1"/>
  <c r="E94" i="14"/>
  <c r="F94" i="14" s="1"/>
  <c r="G94" i="14" s="1"/>
  <c r="B266" i="23" s="1"/>
  <c r="E112" i="14"/>
  <c r="F112" i="14" s="1"/>
  <c r="G112" i="14" s="1"/>
  <c r="B286" i="23" s="1"/>
  <c r="E62" i="14"/>
  <c r="F62" i="14" s="1"/>
  <c r="G62" i="14" s="1"/>
  <c r="B234" i="23" s="1"/>
  <c r="E80" i="14"/>
  <c r="F80" i="14" s="1"/>
  <c r="G80" i="14" s="1"/>
  <c r="B252" i="23" s="1"/>
  <c r="E127" i="14"/>
  <c r="F127" i="14" s="1"/>
  <c r="G127" i="14" s="1"/>
  <c r="B310" i="23" s="1"/>
  <c r="E120" i="14"/>
  <c r="F120" i="14" s="1"/>
  <c r="G120" i="14" s="1"/>
  <c r="B303" i="23" s="1"/>
  <c r="E60" i="14"/>
  <c r="F60" i="14" s="1"/>
  <c r="G60" i="14" s="1"/>
  <c r="B232" i="23" s="1"/>
  <c r="E89" i="14"/>
  <c r="F89" i="14" s="1"/>
  <c r="G89" i="14" s="1"/>
  <c r="B261" i="23" s="1"/>
  <c r="E84" i="14"/>
  <c r="F84" i="14" s="1"/>
  <c r="G84" i="14" s="1"/>
  <c r="B256" i="23" s="1"/>
  <c r="E73" i="14"/>
  <c r="F73" i="14" s="1"/>
  <c r="G73" i="14" s="1"/>
  <c r="B245" i="23" s="1"/>
  <c r="E50" i="14"/>
  <c r="F50" i="14" s="1"/>
  <c r="G50" i="14" s="1"/>
  <c r="B221" i="23" s="1"/>
  <c r="E8" i="14"/>
  <c r="F8" i="14" s="1"/>
  <c r="G8" i="14" s="1"/>
  <c r="B22" i="23" s="1"/>
  <c r="E41" i="14"/>
  <c r="F41" i="14" s="1"/>
  <c r="G41" i="14" s="1"/>
  <c r="B278" i="23" s="1"/>
  <c r="E22" i="14"/>
  <c r="F22" i="14" s="1"/>
  <c r="G22" i="14" s="1"/>
  <c r="B104" i="23" s="1"/>
  <c r="E107" i="14"/>
  <c r="F107" i="14" s="1"/>
  <c r="G107" i="14" s="1"/>
  <c r="B280" i="23" s="1"/>
  <c r="E105" i="14"/>
  <c r="F105" i="14" s="1"/>
  <c r="G105" i="14" s="1"/>
  <c r="B277" i="23" s="1"/>
  <c r="E76" i="14"/>
  <c r="F76" i="14" s="1"/>
  <c r="G76" i="14" s="1"/>
  <c r="B248" i="23" s="1"/>
  <c r="E72" i="14"/>
  <c r="F72" i="14" s="1"/>
  <c r="G72" i="14" s="1"/>
  <c r="B244" i="23" s="1"/>
  <c r="E47" i="14"/>
  <c r="F47" i="14" s="1"/>
  <c r="G47" i="14" s="1"/>
  <c r="B218" i="23" s="1"/>
  <c r="E30" i="14"/>
  <c r="F30" i="14" s="1"/>
  <c r="G30" i="14" s="1"/>
  <c r="B71" i="23" s="1"/>
  <c r="E15" i="14"/>
  <c r="F15" i="14" s="1"/>
  <c r="G15" i="14" s="1"/>
  <c r="B63" i="23" s="1"/>
  <c r="E32" i="14"/>
  <c r="F32" i="14" s="1"/>
  <c r="G32" i="14" s="1"/>
  <c r="B106" i="23" s="1"/>
  <c r="E16" i="14"/>
  <c r="F16" i="14" s="1"/>
  <c r="G16" i="14" s="1"/>
  <c r="B73" i="23" s="1"/>
  <c r="E133" i="14"/>
  <c r="F133" i="14" s="1"/>
  <c r="G133" i="14" s="1"/>
  <c r="B316" i="23" s="1"/>
  <c r="E2" i="14"/>
  <c r="F2" i="14" s="1"/>
  <c r="G2" i="14" s="1"/>
  <c r="B15" i="23" s="1"/>
  <c r="E139" i="14"/>
  <c r="F139" i="14" s="1"/>
  <c r="G139" i="14" s="1"/>
  <c r="B323" i="23" s="1"/>
  <c r="E109" i="14"/>
  <c r="F109" i="14" s="1"/>
  <c r="G109" i="14" s="1"/>
  <c r="B282" i="23" s="1"/>
  <c r="E102" i="14"/>
  <c r="F102" i="14" s="1"/>
  <c r="G102" i="14" s="1"/>
  <c r="B274" i="23" s="1"/>
  <c r="E40" i="14"/>
  <c r="F40" i="14" s="1"/>
  <c r="G40" i="14" s="1"/>
  <c r="B230" i="23" s="1"/>
  <c r="E58" i="14"/>
  <c r="F58" i="14" s="1"/>
  <c r="G58" i="14" s="1"/>
  <c r="B229" i="23" s="1"/>
  <c r="E26" i="14"/>
  <c r="F26" i="14" s="1"/>
  <c r="G26" i="14" s="1"/>
  <c r="B109" i="23" s="1"/>
  <c r="E36" i="14"/>
  <c r="F36" i="14" s="1"/>
  <c r="G36" i="14" s="1"/>
  <c r="B89" i="23" s="1"/>
  <c r="E113" i="14"/>
  <c r="F113" i="14" s="1"/>
  <c r="G113" i="14" s="1"/>
  <c r="B296" i="23" s="1"/>
  <c r="E96" i="14"/>
  <c r="F96" i="14" s="1"/>
  <c r="G96" i="14" s="1"/>
  <c r="B268" i="23" s="1"/>
  <c r="E83" i="14"/>
  <c r="F83" i="14" s="1"/>
  <c r="G83" i="14" s="1"/>
  <c r="B255" i="23" s="1"/>
  <c r="E74" i="14"/>
  <c r="F74" i="14" s="1"/>
  <c r="G74" i="14" s="1"/>
  <c r="B246" i="23" s="1"/>
  <c r="E29" i="14"/>
  <c r="F29" i="14" s="1"/>
  <c r="G29" i="14" s="1"/>
  <c r="B100" i="23" s="1"/>
  <c r="E4" i="14"/>
  <c r="F4" i="14" s="1"/>
  <c r="G4" i="14" s="1"/>
  <c r="B30" i="23" s="1"/>
  <c r="E3" i="14"/>
  <c r="F3" i="14" s="1"/>
  <c r="G3" i="14" s="1"/>
  <c r="B25" i="23" s="1"/>
  <c r="E121" i="14"/>
  <c r="F121" i="14" s="1"/>
  <c r="G121" i="14" s="1"/>
  <c r="B304" i="23" s="1"/>
  <c r="E18" i="14"/>
  <c r="F18" i="14" s="1"/>
  <c r="G18" i="14" s="1"/>
  <c r="B110" i="23" s="1"/>
  <c r="E34" i="14"/>
  <c r="F34" i="14" s="1"/>
  <c r="G34" i="14" s="1"/>
  <c r="B216" i="23" s="1"/>
  <c r="E12" i="14"/>
  <c r="F12" i="14" s="1"/>
  <c r="G12" i="14" s="1"/>
  <c r="B111" i="23" s="1"/>
  <c r="E91" i="14"/>
  <c r="F91" i="14" s="1"/>
  <c r="G91" i="14" s="1"/>
  <c r="B263" i="23" s="1"/>
  <c r="E69" i="14"/>
  <c r="F69" i="14" s="1"/>
  <c r="G69" i="14" s="1"/>
  <c r="B241" i="23" s="1"/>
  <c r="E14" i="14"/>
  <c r="F14" i="14" s="1"/>
  <c r="G14" i="14" s="1"/>
  <c r="B46" i="23" s="1"/>
  <c r="E95" i="14"/>
  <c r="F95" i="14" s="1"/>
  <c r="G95" i="14" s="1"/>
  <c r="B267" i="23" s="1"/>
  <c r="E54" i="14"/>
  <c r="F54" i="14" s="1"/>
  <c r="G54" i="14" s="1"/>
  <c r="B225" i="23" s="1"/>
  <c r="E17" i="14"/>
  <c r="F17" i="14" s="1"/>
  <c r="G17" i="14" s="1"/>
  <c r="B50" i="23" s="1"/>
  <c r="E135" i="14"/>
  <c r="F135" i="14" s="1"/>
  <c r="G135" i="14" s="1"/>
  <c r="B319" i="23" s="1"/>
  <c r="E130" i="14"/>
  <c r="F130" i="14" s="1"/>
  <c r="G130" i="14" s="1"/>
  <c r="B313" i="23" s="1"/>
  <c r="E111" i="14"/>
  <c r="F111" i="14" s="1"/>
  <c r="G111" i="14" s="1"/>
  <c r="B285" i="23" s="1"/>
  <c r="E110" i="14"/>
  <c r="F110" i="14" s="1"/>
  <c r="G110" i="14" s="1"/>
  <c r="B283" i="23" s="1"/>
  <c r="E97" i="14"/>
  <c r="F97" i="14" s="1"/>
  <c r="G97" i="14" s="1"/>
  <c r="B269" i="23" s="1"/>
  <c r="E56" i="14"/>
  <c r="F56" i="14" s="1"/>
  <c r="G56" i="14" s="1"/>
  <c r="B227" i="23" s="1"/>
  <c r="E10" i="14"/>
  <c r="F10" i="14" s="1"/>
  <c r="G10" i="14" s="1"/>
  <c r="B56" i="23" s="1"/>
  <c r="E118" i="14"/>
  <c r="F118" i="14" s="1"/>
  <c r="G118" i="14" s="1"/>
  <c r="B301" i="23" s="1"/>
  <c r="E39" i="14"/>
  <c r="F39" i="14" s="1"/>
  <c r="G39" i="14" s="1"/>
  <c r="B133" i="23" s="1"/>
  <c r="E66" i="14"/>
  <c r="F66" i="14" s="1"/>
  <c r="G66" i="14" s="1"/>
  <c r="B238" i="23" s="1"/>
  <c r="E128" i="14"/>
  <c r="F128" i="14" s="1"/>
  <c r="G128" i="14" s="1"/>
  <c r="B311" i="23" s="1"/>
  <c r="E65" i="14"/>
  <c r="F65" i="14" s="1"/>
  <c r="G65" i="14" s="1"/>
  <c r="B237" i="23" s="1"/>
  <c r="E108" i="14"/>
  <c r="F108" i="14" s="1"/>
  <c r="G108" i="14" s="1"/>
  <c r="B281" i="23" s="1"/>
  <c r="E106" i="14"/>
  <c r="F106" i="14" s="1"/>
  <c r="G106" i="14" s="1"/>
  <c r="B279" i="23" s="1"/>
  <c r="E100" i="14"/>
  <c r="F100" i="14" s="1"/>
  <c r="G100" i="14" s="1"/>
  <c r="B272" i="23" s="1"/>
  <c r="E75" i="14"/>
  <c r="F75" i="14" s="1"/>
  <c r="G75" i="14" s="1"/>
  <c r="B247" i="23" s="1"/>
  <c r="E35" i="14"/>
  <c r="F35" i="14" s="1"/>
  <c r="G35" i="14" s="1"/>
  <c r="B83" i="23" s="1"/>
  <c r="E116" i="14"/>
  <c r="F116" i="14" s="1"/>
  <c r="G116" i="14" s="1"/>
  <c r="B299" i="23" s="1"/>
  <c r="E117" i="14"/>
  <c r="F117" i="14" s="1"/>
  <c r="G117" i="14" s="1"/>
  <c r="B300" i="23" s="1"/>
  <c r="E63" i="14"/>
  <c r="F63" i="14" s="1"/>
  <c r="G63" i="14" s="1"/>
  <c r="B235" i="23" s="1"/>
  <c r="E103" i="14"/>
  <c r="F103" i="14" s="1"/>
  <c r="G103" i="14" s="1"/>
  <c r="B275" i="23" s="1"/>
  <c r="E78" i="14"/>
  <c r="F78" i="14" s="1"/>
  <c r="G78" i="14" s="1"/>
  <c r="B250" i="23" s="1"/>
  <c r="E44" i="14"/>
  <c r="F44" i="14" s="1"/>
  <c r="G44" i="14" s="1"/>
  <c r="B214" i="23" s="1"/>
  <c r="E140" i="14"/>
  <c r="F140" i="14" s="1"/>
  <c r="G140" i="14" s="1"/>
  <c r="B324" i="23" s="1"/>
  <c r="E43" i="14"/>
  <c r="F43" i="14" s="1"/>
  <c r="G43" i="14" s="1"/>
  <c r="B317" i="23" s="1"/>
  <c r="E115" i="14"/>
  <c r="F115" i="14" s="1"/>
  <c r="G115" i="14" s="1"/>
  <c r="B298" i="23" s="1"/>
  <c r="E136" i="14"/>
  <c r="F136" i="14" s="1"/>
  <c r="G136" i="14" s="1"/>
  <c r="B320" i="23" s="1"/>
  <c r="E131" i="14"/>
  <c r="F131" i="14" s="1"/>
  <c r="G131" i="14" s="1"/>
  <c r="B314" i="23" s="1"/>
  <c r="E124" i="14"/>
  <c r="F124" i="14" s="1"/>
  <c r="G124" i="14" s="1"/>
  <c r="B307" i="23" s="1"/>
  <c r="E114" i="14"/>
  <c r="F114" i="14" s="1"/>
  <c r="G114" i="14" s="1"/>
  <c r="B297" i="23" s="1"/>
  <c r="E81" i="14"/>
  <c r="F81" i="14" s="1"/>
  <c r="G81" i="14" s="1"/>
  <c r="B253" i="23" s="1"/>
  <c r="E45" i="14"/>
  <c r="F45" i="14" s="1"/>
  <c r="G45" i="14" s="1"/>
  <c r="B215" i="23" s="1"/>
  <c r="E23" i="14"/>
  <c r="F23" i="14" s="1"/>
  <c r="G23" i="14" s="1"/>
  <c r="B105" i="23" s="1"/>
  <c r="C9" i="14"/>
  <c r="C5" i="12"/>
  <c r="F30" i="12" l="1"/>
  <c r="G30" i="12" s="1"/>
  <c r="B69" i="23" s="1"/>
  <c r="F99" i="12"/>
  <c r="G99" i="12" s="1"/>
  <c r="B179" i="23" s="1"/>
  <c r="F115" i="12"/>
  <c r="G115" i="12" s="1"/>
  <c r="B196" i="23" s="1"/>
  <c r="F139" i="12"/>
  <c r="G139" i="12" s="1"/>
  <c r="B480" i="23" s="1"/>
  <c r="F41" i="12"/>
  <c r="G41" i="12" s="1"/>
  <c r="B85" i="23" s="1"/>
  <c r="F82" i="12"/>
  <c r="G82" i="12" s="1"/>
  <c r="B159" i="23" s="1"/>
  <c r="F3" i="12"/>
  <c r="G3" i="12" s="1"/>
  <c r="B11" i="23" s="1"/>
  <c r="F83" i="12"/>
  <c r="G83" i="12" s="1"/>
  <c r="B160" i="23" s="1"/>
  <c r="F26" i="12"/>
  <c r="G26" i="12" s="1"/>
  <c r="B96" i="23" s="1"/>
  <c r="F106" i="12"/>
  <c r="G106" i="12" s="1"/>
  <c r="B187" i="23" s="1"/>
  <c r="F95" i="12"/>
  <c r="G95" i="12" s="1"/>
  <c r="B174" i="23" s="1"/>
  <c r="F100" i="12"/>
  <c r="G100" i="12" s="1"/>
  <c r="B180" i="23" s="1"/>
  <c r="F70" i="12"/>
  <c r="G70" i="12" s="1"/>
  <c r="B144" i="23" s="1"/>
  <c r="F15" i="12"/>
  <c r="G15" i="12" s="1"/>
  <c r="B21" i="23" s="1"/>
  <c r="F74" i="12"/>
  <c r="G74" i="12" s="1"/>
  <c r="B150" i="23" s="1"/>
  <c r="F18" i="12"/>
  <c r="G18" i="12" s="1"/>
  <c r="B61" i="23" s="1"/>
  <c r="F51" i="12"/>
  <c r="G51" i="12" s="1"/>
  <c r="B129" i="23" s="1"/>
  <c r="F42" i="12"/>
  <c r="G42" i="12" s="1"/>
  <c r="B94" i="23" s="1"/>
  <c r="F36" i="12"/>
  <c r="G36" i="12" s="1"/>
  <c r="B98" i="23" s="1"/>
  <c r="F102" i="12"/>
  <c r="G102" i="12" s="1"/>
  <c r="B182" i="23" s="1"/>
  <c r="F118" i="12"/>
  <c r="G118" i="12" s="1"/>
  <c r="B199" i="23" s="1"/>
  <c r="F68" i="12"/>
  <c r="G68" i="12" s="1"/>
  <c r="B483" i="23" s="1"/>
  <c r="F125" i="12"/>
  <c r="G125" i="12" s="1"/>
  <c r="B212" i="23" s="1"/>
  <c r="F84" i="12"/>
  <c r="G84" i="12" s="1"/>
  <c r="B161" i="23" s="1"/>
  <c r="F9" i="12"/>
  <c r="G9" i="12" s="1"/>
  <c r="B17" i="23" s="1"/>
  <c r="F143" i="12"/>
  <c r="G143" i="12" s="1"/>
  <c r="B485" i="23" s="1"/>
  <c r="F86" i="12"/>
  <c r="G86" i="12" s="1"/>
  <c r="B163" i="23" s="1"/>
  <c r="F32" i="12"/>
  <c r="G32" i="12" s="1"/>
  <c r="B200" i="23" s="1"/>
  <c r="F110" i="12"/>
  <c r="G110" i="12" s="1"/>
  <c r="B191" i="23" s="1"/>
  <c r="F113" i="12"/>
  <c r="G113" i="12" s="1"/>
  <c r="B194" i="23" s="1"/>
  <c r="F93" i="12"/>
  <c r="G93" i="12" s="1"/>
  <c r="B172" i="23" s="1"/>
  <c r="F101" i="12"/>
  <c r="G101" i="12" s="1"/>
  <c r="B181" i="23" s="1"/>
  <c r="F114" i="12"/>
  <c r="G114" i="12" s="1"/>
  <c r="B195" i="23" s="1"/>
  <c r="F105" i="12"/>
  <c r="G105" i="12" s="1"/>
  <c r="B186" i="23" s="1"/>
  <c r="F55" i="12"/>
  <c r="G55" i="12" s="1"/>
  <c r="B148" i="23" s="1"/>
  <c r="F92" i="12"/>
  <c r="G92" i="12" s="1"/>
  <c r="B171" i="23" s="1"/>
  <c r="F122" i="12"/>
  <c r="G122" i="12" s="1"/>
  <c r="B207" i="23" s="1"/>
  <c r="F19" i="12"/>
  <c r="G19" i="12" s="1"/>
  <c r="B62" i="23" s="1"/>
  <c r="F47" i="12"/>
  <c r="G47" i="12" s="1"/>
  <c r="B125" i="23" s="1"/>
  <c r="F35" i="12"/>
  <c r="G35" i="12" s="1"/>
  <c r="B70" i="23" s="1"/>
  <c r="F58" i="12"/>
  <c r="G58" i="12" s="1"/>
  <c r="B185" i="23" s="1"/>
  <c r="F128" i="12"/>
  <c r="G128" i="12" s="1"/>
  <c r="B288" i="23" s="1"/>
  <c r="F85" i="12"/>
  <c r="G85" i="12" s="1"/>
  <c r="B162" i="23" s="1"/>
  <c r="F22" i="12"/>
  <c r="G22" i="12" s="1"/>
  <c r="B493" i="23" s="1"/>
  <c r="F127" i="12"/>
  <c r="G127" i="12" s="1"/>
  <c r="B287" i="23" s="1"/>
  <c r="F116" i="12"/>
  <c r="G116" i="12" s="1"/>
  <c r="B197" i="23" s="1"/>
  <c r="F88" i="12"/>
  <c r="G88" i="12" s="1"/>
  <c r="B166" i="23" s="1"/>
  <c r="F12" i="12"/>
  <c r="G12" i="12" s="1"/>
  <c r="B23" i="23" s="1"/>
  <c r="F64" i="12"/>
  <c r="G64" i="12" s="1"/>
  <c r="B471" i="23" s="1"/>
  <c r="F39" i="12"/>
  <c r="G39" i="12" s="1"/>
  <c r="B202" i="23" s="1"/>
  <c r="F117" i="12"/>
  <c r="G117" i="12" s="1"/>
  <c r="B198" i="23" s="1"/>
  <c r="F103" i="12"/>
  <c r="G103" i="12" s="1"/>
  <c r="B183" i="23" s="1"/>
  <c r="F109" i="12"/>
  <c r="G109" i="12" s="1"/>
  <c r="B190" i="23" s="1"/>
  <c r="F140" i="12"/>
  <c r="G140" i="12" s="1"/>
  <c r="B481" i="23" s="1"/>
  <c r="F112" i="12"/>
  <c r="G112" i="12" s="1"/>
  <c r="B193" i="23" s="1"/>
  <c r="F104" i="12"/>
  <c r="G104" i="12" s="1"/>
  <c r="B184" i="23" s="1"/>
  <c r="F29" i="12"/>
  <c r="G29" i="12" s="1"/>
  <c r="B103" i="23" s="1"/>
  <c r="F14" i="12"/>
  <c r="G14" i="12" s="1"/>
  <c r="B18" i="23" s="1"/>
  <c r="F71" i="12"/>
  <c r="G71" i="12" s="1"/>
  <c r="B145" i="23" s="1"/>
  <c r="F10" i="12"/>
  <c r="G10" i="12" s="1"/>
  <c r="B58" i="23" s="1"/>
  <c r="F21" i="12"/>
  <c r="G21" i="12" s="1"/>
  <c r="B77" i="23" s="1"/>
  <c r="F107" i="12"/>
  <c r="G107" i="12" s="1"/>
  <c r="B188" i="23" s="1"/>
  <c r="F130" i="12"/>
  <c r="G130" i="12" s="1"/>
  <c r="B290" i="23" s="1"/>
  <c r="F144" i="12"/>
  <c r="G144" i="12" s="1"/>
  <c r="B486" i="23" s="1"/>
  <c r="F126" i="12"/>
  <c r="G126" i="12" s="1"/>
  <c r="B213" i="23" s="1"/>
  <c r="F63" i="12"/>
  <c r="G63" i="12" s="1"/>
  <c r="B292" i="23" s="1"/>
  <c r="F37" i="12"/>
  <c r="G37" i="12" s="1"/>
  <c r="B153" i="23" s="1"/>
  <c r="F66" i="12"/>
  <c r="G66" i="12" s="1"/>
  <c r="B477" i="23" s="1"/>
  <c r="F24" i="12"/>
  <c r="G24" i="12" s="1"/>
  <c r="B59" i="23" s="1"/>
  <c r="F79" i="12"/>
  <c r="G79" i="12" s="1"/>
  <c r="B156" i="23" s="1"/>
  <c r="F67" i="12"/>
  <c r="G67" i="12" s="1"/>
  <c r="B478" i="23" s="1"/>
  <c r="F75" i="12"/>
  <c r="G75" i="12" s="1"/>
  <c r="B151" i="23" s="1"/>
  <c r="F108" i="12"/>
  <c r="G108" i="12" s="1"/>
  <c r="B189" i="23" s="1"/>
  <c r="F48" i="12"/>
  <c r="G48" i="12" s="1"/>
  <c r="B126" i="23" s="1"/>
  <c r="F96" i="12"/>
  <c r="G96" i="12" s="1"/>
  <c r="B175" i="23" s="1"/>
  <c r="F76" i="12"/>
  <c r="G76" i="12" s="1"/>
  <c r="B152" i="23" s="1"/>
  <c r="F147" i="12"/>
  <c r="G147" i="12" s="1"/>
  <c r="B489" i="23" s="1"/>
  <c r="F53" i="12"/>
  <c r="G53" i="12" s="1"/>
  <c r="B142" i="23" s="1"/>
  <c r="F49" i="12"/>
  <c r="G49" i="12" s="1"/>
  <c r="B127" i="23" s="1"/>
  <c r="F131" i="12"/>
  <c r="G131" i="12" s="1"/>
  <c r="B293" i="23" s="1"/>
  <c r="F34" i="12"/>
  <c r="G34" i="12" s="1"/>
  <c r="B490" i="23" s="1"/>
  <c r="F43" i="12"/>
  <c r="G43" i="12" s="1"/>
  <c r="B97" i="23" s="1"/>
  <c r="F135" i="12"/>
  <c r="G135" i="12" s="1"/>
  <c r="B473" i="23" s="1"/>
  <c r="F77" i="12"/>
  <c r="G77" i="12" s="1"/>
  <c r="B154" i="23" s="1"/>
  <c r="F142" i="12"/>
  <c r="G142" i="12" s="1"/>
  <c r="B484" i="23" s="1"/>
  <c r="F31" i="12"/>
  <c r="G31" i="12" s="1"/>
  <c r="B91" i="23" s="1"/>
  <c r="F69" i="12"/>
  <c r="G69" i="12" s="1"/>
  <c r="B491" i="23" s="1"/>
  <c r="F56" i="12"/>
  <c r="G56" i="12" s="1"/>
  <c r="B165" i="23" s="1"/>
  <c r="F61" i="12"/>
  <c r="G61" i="12" s="1"/>
  <c r="B208" i="23" s="1"/>
  <c r="F134" i="12"/>
  <c r="G134" i="12" s="1"/>
  <c r="B472" i="23" s="1"/>
  <c r="F120" i="12"/>
  <c r="G120" i="12" s="1"/>
  <c r="B203" i="23" s="1"/>
  <c r="F50" i="12"/>
  <c r="G50" i="12" s="1"/>
  <c r="B128" i="23" s="1"/>
  <c r="F16" i="12"/>
  <c r="G16" i="12" s="1"/>
  <c r="B38" i="23" s="1"/>
  <c r="F60" i="12"/>
  <c r="G60" i="12" s="1"/>
  <c r="B205" i="23" s="1"/>
  <c r="F23" i="12"/>
  <c r="G23" i="12" s="1"/>
  <c r="B43" i="23" s="1"/>
  <c r="F33" i="12"/>
  <c r="G33" i="12" s="1"/>
  <c r="B210" i="23" s="1"/>
  <c r="F133" i="12"/>
  <c r="G133" i="12" s="1"/>
  <c r="B295" i="23" s="1"/>
  <c r="F57" i="12"/>
  <c r="G57" i="12" s="1"/>
  <c r="B167" i="23" s="1"/>
  <c r="F123" i="12"/>
  <c r="G123" i="12" s="1"/>
  <c r="B209" i="23" s="1"/>
  <c r="F138" i="12"/>
  <c r="G138" i="12" s="1"/>
  <c r="B479" i="23" s="1"/>
  <c r="F129" i="12"/>
  <c r="G129" i="12" s="1"/>
  <c r="B289" i="23" s="1"/>
  <c r="F145" i="12"/>
  <c r="G145" i="12" s="1"/>
  <c r="B487" i="23" s="1"/>
  <c r="F11" i="12"/>
  <c r="G11" i="12" s="1"/>
  <c r="B60" i="23" s="1"/>
  <c r="F146" i="12"/>
  <c r="G146" i="12" s="1"/>
  <c r="B488" i="23" s="1"/>
  <c r="F17" i="12"/>
  <c r="G17" i="12" s="1"/>
  <c r="B48" i="23" s="1"/>
  <c r="F62" i="12"/>
  <c r="G62" i="12" s="1"/>
  <c r="B291" i="23" s="1"/>
  <c r="F90" i="12"/>
  <c r="G90" i="12" s="1"/>
  <c r="B169" i="23" s="1"/>
  <c r="F78" i="12"/>
  <c r="G78" i="12" s="1"/>
  <c r="B155" i="23" s="1"/>
  <c r="F54" i="12"/>
  <c r="G54" i="12" s="1"/>
  <c r="B146" i="23" s="1"/>
  <c r="F121" i="12"/>
  <c r="G121" i="12" s="1"/>
  <c r="B206" i="23" s="1"/>
  <c r="F20" i="12"/>
  <c r="G20" i="12" s="1"/>
  <c r="B72" i="23" s="1"/>
  <c r="F94" i="12"/>
  <c r="G94" i="12" s="1"/>
  <c r="B173" i="23" s="1"/>
  <c r="F111" i="12"/>
  <c r="G111" i="12" s="1"/>
  <c r="B192" i="23" s="1"/>
  <c r="F65" i="12"/>
  <c r="G65" i="12" s="1"/>
  <c r="B474" i="23" s="1"/>
  <c r="F148" i="12"/>
  <c r="G148" i="12" s="1"/>
  <c r="B492" i="23" s="1"/>
  <c r="F45" i="12"/>
  <c r="G45" i="12" s="1"/>
  <c r="B122" i="23" s="1"/>
  <c r="F141" i="12"/>
  <c r="G141" i="12" s="1"/>
  <c r="B482" i="23" s="1"/>
  <c r="F132" i="12"/>
  <c r="G132" i="12" s="1"/>
  <c r="B294" i="23" s="1"/>
  <c r="F89" i="12"/>
  <c r="G89" i="12" s="1"/>
  <c r="B168" i="23" s="1"/>
  <c r="F97" i="12"/>
  <c r="G97" i="12" s="1"/>
  <c r="B176" i="23" s="1"/>
  <c r="F81" i="12"/>
  <c r="G81" i="12" s="1"/>
  <c r="B158" i="23" s="1"/>
  <c r="F25" i="12"/>
  <c r="G25" i="12" s="1"/>
  <c r="B81" i="23" s="1"/>
  <c r="F7" i="12"/>
  <c r="G7" i="12" s="1"/>
  <c r="B37" i="23" s="1"/>
  <c r="F13" i="12"/>
  <c r="G13" i="12" s="1"/>
  <c r="B33" i="23" s="1"/>
  <c r="F80" i="12"/>
  <c r="G80" i="12" s="1"/>
  <c r="B157" i="23" s="1"/>
  <c r="F119" i="12"/>
  <c r="G119" i="12" s="1"/>
  <c r="B201" i="23" s="1"/>
  <c r="F91" i="12"/>
  <c r="G91" i="12" s="1"/>
  <c r="B170" i="23" s="1"/>
  <c r="F98" i="12"/>
  <c r="G98" i="12" s="1"/>
  <c r="B178" i="23" s="1"/>
  <c r="F52" i="12"/>
  <c r="G52" i="12" s="1"/>
  <c r="B130" i="23" s="1"/>
  <c r="F38" i="12"/>
  <c r="G38" i="12" s="1"/>
  <c r="B177" i="23" s="1"/>
  <c r="F59" i="12"/>
  <c r="G59" i="12" s="1"/>
  <c r="B204" i="23" s="1"/>
  <c r="F137" i="12"/>
  <c r="G137" i="12" s="1"/>
  <c r="B476" i="23" s="1"/>
  <c r="F8" i="12"/>
  <c r="G8" i="12" s="1"/>
  <c r="B16" i="23" s="1"/>
  <c r="F46" i="12"/>
  <c r="G46" i="12" s="1"/>
  <c r="B123" i="23" s="1"/>
  <c r="F87" i="12"/>
  <c r="G87" i="12" s="1"/>
  <c r="B164" i="23" s="1"/>
  <c r="F136" i="12"/>
  <c r="G136" i="12" s="1"/>
  <c r="B475" i="23" s="1"/>
  <c r="F124" i="12"/>
  <c r="G124" i="12" s="1"/>
  <c r="B211" i="23" s="1"/>
  <c r="F73" i="12"/>
  <c r="G73" i="12" s="1"/>
  <c r="B149" i="23" s="1"/>
  <c r="F6" i="12"/>
  <c r="G6" i="12" s="1"/>
  <c r="B27" i="23" s="1"/>
  <c r="F72" i="12"/>
  <c r="G72" i="12" s="1"/>
  <c r="B147" i="23" s="1"/>
  <c r="F27" i="12"/>
  <c r="G27" i="12" s="1"/>
  <c r="B101" i="23" s="1"/>
  <c r="F4" i="12"/>
  <c r="G4" i="12" s="1"/>
  <c r="B13" i="23" s="1"/>
  <c r="F40" i="12"/>
  <c r="G40" i="12" s="1"/>
  <c r="B84" i="23" s="1"/>
  <c r="F44" i="12"/>
  <c r="G44" i="12" s="1"/>
  <c r="B99" i="23" s="1"/>
  <c r="F28" i="12"/>
  <c r="G28" i="12" s="1"/>
  <c r="B102" i="23" s="1"/>
  <c r="D9" i="14"/>
  <c r="D5" i="12"/>
  <c r="E5" i="12" l="1"/>
  <c r="E9" i="14"/>
  <c r="F9" i="14" s="1"/>
  <c r="G9" i="14" s="1"/>
  <c r="B12" i="23" s="1"/>
  <c r="F5" i="12" l="1"/>
  <c r="G5" i="12" s="1"/>
  <c r="B1" i="23" s="1"/>
</calcChain>
</file>

<file path=xl/sharedStrings.xml><?xml version="1.0" encoding="utf-8"?>
<sst xmlns="http://schemas.openxmlformats.org/spreadsheetml/2006/main" count="2794" uniqueCount="643">
  <si>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</si>
  <si>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</si>
  <si>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</si>
  <si>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</si>
  <si>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</si>
  <si>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</si>
  <si>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</si>
  <si>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</si>
  <si>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</si>
  <si>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</si>
  <si>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Mon</t>
  </si>
  <si>
    <t>Tue</t>
  </si>
  <si>
    <t>Wed</t>
  </si>
  <si>
    <t>Thu</t>
  </si>
  <si>
    <t>Fri</t>
  </si>
  <si>
    <t>墨韵轩华</t>
  </si>
  <si>
    <t>与尔同销萬古愁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</si>
  <si>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</si>
  <si>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</si>
  <si>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</si>
  <si>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</si>
  <si>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</si>
  <si>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</si>
  <si>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</si>
  <si>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</si>
  <si>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</si>
  <si>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</si>
  <si>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</si>
  <si>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</si>
  <si>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</si>
  <si>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</si>
  <si>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</si>
  <si>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</si>
  <si>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</si>
  <si>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</si>
  <si>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</si>
  <si>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</si>
  <si>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</si>
  <si>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</si>
  <si>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</si>
  <si>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</si>
  <si>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</si>
  <si>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</si>
  <si>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</si>
  <si>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</si>
  <si>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</si>
  <si>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渡亡</t>
  </si>
  <si>
    <t>糖小妖ゞ</t>
  </si>
  <si>
    <t>澪澪</t>
  </si>
  <si>
    <t>零拾</t>
  </si>
  <si>
    <t>薛涛笺</t>
  </si>
  <si>
    <t>承受我得狂或野</t>
  </si>
  <si>
    <t>超能英雄</t>
  </si>
  <si>
    <t>吕小栋</t>
  </si>
  <si>
    <t>巡山的人</t>
  </si>
  <si>
    <t>凰荼歌</t>
  </si>
  <si>
    <t>牧西城</t>
  </si>
  <si>
    <t>√蓝莓巧克力丶</t>
  </si>
  <si>
    <t>我是你狼叔啊</t>
  </si>
  <si>
    <t>慕容诗情</t>
  </si>
  <si>
    <t>安九岁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</si>
  <si>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</si>
  <si>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</si>
  <si>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</si>
  <si>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</si>
  <si>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</si>
  <si>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</si>
  <si>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</si>
  <si>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</si>
  <si>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峰卷残云</t>
  </si>
  <si>
    <t>袅袅余音灬</t>
  </si>
  <si>
    <t>比逗是念着反</t>
  </si>
  <si>
    <t>老娘是人来疯</t>
  </si>
  <si>
    <t>耐侀</t>
  </si>
  <si>
    <t>素蝶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</si>
  <si>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</si>
  <si>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</si>
  <si>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</si>
  <si>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</si>
  <si>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</si>
  <si>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</si>
  <si>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</si>
  <si>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</si>
  <si>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</si>
  <si>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</si>
  <si>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碧眼狐狸、赵四</t>
  </si>
  <si>
    <t>陈凌风</t>
  </si>
  <si>
    <t>右逝</t>
  </si>
  <si>
    <t>沐伯乾</t>
  </si>
  <si>
    <t>嗜酒小道爷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</si>
  <si>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</si>
  <si>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</si>
  <si>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</si>
  <si>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</si>
  <si>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</si>
  <si>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</si>
  <si>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</si>
  <si>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</si>
  <si>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</si>
  <si>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</si>
  <si>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</si>
  <si>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</si>
  <si>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</si>
  <si>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</si>
  <si>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</si>
  <si>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</si>
  <si>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</si>
  <si>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</si>
  <si>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</si>
  <si>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</si>
  <si>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</si>
  <si>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</si>
  <si>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</si>
  <si>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赵昊昌</t>
  </si>
  <si>
    <t>墨泓</t>
  </si>
  <si>
    <t>青城爱未恋</t>
  </si>
  <si>
    <t>双生若梦</t>
  </si>
  <si>
    <t>唐舞桐灬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</si>
  <si>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</si>
  <si>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</si>
  <si>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</si>
  <si>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</si>
  <si>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</si>
  <si>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</si>
  <si>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</si>
  <si>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</si>
  <si>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</si>
  <si>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</si>
  <si>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充气奶茶</t>
  </si>
  <si>
    <t>冷晓汐丶</t>
  </si>
  <si>
    <t>冷如是丶</t>
  </si>
  <si>
    <t>艾莉亞史塔克</t>
  </si>
  <si>
    <t>青羽墨染云</t>
  </si>
  <si>
    <t>紫雨幽雲</t>
  </si>
  <si>
    <t>潇洒仗剑天下</t>
  </si>
  <si>
    <t>冷清语</t>
  </si>
  <si>
    <t>昔昔</t>
  </si>
  <si>
    <t>我要当咸鱼</t>
  </si>
  <si>
    <t>小心有诈哦</t>
  </si>
  <si>
    <t>伊贰叁</t>
  </si>
  <si>
    <t>仐仐、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</si>
  <si>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</si>
  <si>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</si>
  <si>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</si>
  <si>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</si>
  <si>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</si>
  <si>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</si>
  <si>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</si>
  <si>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丶吴宇森</t>
  </si>
  <si>
    <t>逍遥凝月</t>
  </si>
  <si>
    <t>洪时雪</t>
  </si>
  <si>
    <t>萝卜土豆丝</t>
  </si>
  <si>
    <t>追风少年鹰老七</t>
  </si>
  <si>
    <t>伊似君心</t>
  </si>
  <si>
    <t>离渊不破笑道人</t>
  </si>
  <si>
    <t>四月耀阳</t>
  </si>
  <si>
    <t>祠下</t>
  </si>
  <si>
    <t>志方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</si>
  <si>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</si>
  <si>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</si>
  <si>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</si>
  <si>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</si>
  <si>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</si>
  <si>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</si>
  <si>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</si>
  <si>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</si>
  <si>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</si>
  <si>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</si>
  <si>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妄于</t>
  </si>
  <si>
    <t>纯情少妇马芳玲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</si>
  <si>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</si>
  <si>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</si>
  <si>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</si>
  <si>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</si>
  <si>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</si>
  <si>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</si>
  <si>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</si>
  <si>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</si>
  <si>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</si>
  <si>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</si>
  <si>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</si>
  <si>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</si>
  <si>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</si>
  <si>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好想告诉伱</t>
  </si>
  <si>
    <t>落花丶醉</t>
  </si>
  <si>
    <t>夏鸳丶</t>
  </si>
  <si>
    <t>尹霓裳</t>
  </si>
  <si>
    <t>赤月染红尘</t>
  </si>
  <si>
    <t>花开灬渐隐</t>
  </si>
  <si>
    <t>二瞳</t>
  </si>
  <si>
    <t>马来西亚的咪咪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</si>
  <si>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</si>
  <si>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</si>
  <si>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</si>
  <si>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</si>
  <si>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</si>
  <si>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</si>
  <si>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</si>
  <si>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</si>
  <si>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</si>
  <si>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</si>
  <si>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</si>
  <si>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</si>
  <si>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</si>
  <si>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</si>
  <si>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</si>
  <si>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</si>
  <si>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</si>
  <si>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</si>
  <si>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</si>
  <si>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</si>
  <si>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</si>
  <si>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</si>
  <si>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</si>
  <si>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</si>
  <si>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</si>
  <si>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</si>
  <si>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</si>
  <si>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</si>
  <si>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太极至尊</t>
  </si>
  <si>
    <t>毒药奶茶</t>
  </si>
  <si>
    <t>些许</t>
  </si>
  <si>
    <t>荼薇与澈</t>
  </si>
  <si>
    <t>鹿山丶远远</t>
  </si>
  <si>
    <t>kingdan</t>
  </si>
  <si>
    <t>八块腹肌小官人</t>
  </si>
  <si>
    <t>椛灯</t>
  </si>
  <si>
    <t>友善的若云</t>
  </si>
  <si>
    <t>纳加法</t>
  </si>
  <si>
    <t>长发飘飘跑</t>
  </si>
  <si>
    <t>取个名好麻烦啊</t>
  </si>
  <si>
    <t>落落清歡丶</t>
  </si>
  <si>
    <t>刁起奶嘴闯天下</t>
  </si>
  <si>
    <t>刀灵媛</t>
  </si>
  <si>
    <t>俱利摩</t>
  </si>
  <si>
    <t>一个有内涵的人</t>
  </si>
  <si>
    <t>ZzEvi11qRuxi</t>
  </si>
  <si>
    <t>如酒如笙歌ゎ</t>
  </si>
  <si>
    <t>闭月羞</t>
  </si>
  <si>
    <t>魅丿无情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</si>
  <si>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</si>
  <si>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</si>
  <si>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</si>
  <si>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</si>
  <si>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</si>
  <si>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</si>
  <si>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</si>
  <si>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</si>
  <si>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</si>
  <si>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娜迦海妖</t>
  </si>
  <si>
    <t>杜凡</t>
  </si>
  <si>
    <t>友善的大夫</t>
  </si>
  <si>
    <t>折影凤栖弦i</t>
  </si>
  <si>
    <t>咲冭陽</t>
  </si>
  <si>
    <t>雪域星空</t>
  </si>
  <si>
    <t>凱蒂喵</t>
  </si>
  <si>
    <t>太阳骑士炮灰</t>
  </si>
  <si>
    <t>圈圈</t>
  </si>
  <si>
    <t>诸天花雨</t>
  </si>
  <si>
    <t>红毛</t>
  </si>
  <si>
    <t>小雪妖</t>
  </si>
  <si>
    <t>北城初夏</t>
  </si>
  <si>
    <t>仁剑震音扬</t>
  </si>
  <si>
    <t>博刷</t>
  </si>
  <si>
    <t>拉轰小女子</t>
  </si>
  <si>
    <t>我讨厌用名字</t>
  </si>
  <si>
    <t>褚墨儿</t>
  </si>
  <si>
    <t>莫雪飞飞</t>
  </si>
  <si>
    <t>米兰的阳光</t>
  </si>
  <si>
    <t>谁家娇妻守空房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</si>
  <si>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</si>
  <si>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</si>
  <si>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</si>
  <si>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</si>
  <si>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</si>
  <si>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</si>
  <si>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</si>
  <si>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</si>
  <si>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</si>
  <si>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</si>
  <si>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</si>
  <si>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</si>
  <si>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</si>
  <si>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</si>
  <si>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</si>
  <si>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</si>
  <si>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</si>
  <si>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</si>
  <si>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</si>
  <si>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</si>
  <si>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</si>
  <si>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</si>
  <si>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</si>
  <si>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</si>
  <si>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</si>
  <si>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</si>
  <si>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</si>
  <si>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</si>
  <si>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</si>
  <si>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</si>
  <si>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</si>
  <si>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</si>
  <si>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</si>
  <si>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</si>
  <si>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</si>
  <si>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</si>
  <si>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</si>
  <si>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</si>
  <si>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</si>
  <si>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</si>
  <si>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</si>
  <si>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</si>
  <si>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</si>
  <si>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</si>
  <si>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</si>
  <si>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</si>
  <si>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</si>
  <si>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</si>
  <si>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</si>
  <si>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</si>
  <si>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</si>
  <si>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</si>
  <si>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</si>
  <si>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</si>
  <si>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</si>
  <si>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</si>
  <si>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</si>
  <si>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段麒</t>
  </si>
  <si>
    <t>烈凝风</t>
  </si>
  <si>
    <t>丶神楽</t>
  </si>
  <si>
    <t>秦友善。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</si>
  <si>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</si>
  <si>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</si>
  <si>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</si>
  <si>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</si>
  <si>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</si>
  <si>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</si>
  <si>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</si>
  <si>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</si>
  <si>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</si>
  <si>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</si>
  <si>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</si>
  <si>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</si>
  <si>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</si>
  <si>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神威司空阿龙</t>
  </si>
  <si>
    <t>企及</t>
  </si>
  <si>
    <t>酒夭夭</t>
  </si>
  <si>
    <t>醉里论道、</t>
  </si>
  <si>
    <t>鹿山丶政政</t>
  </si>
  <si>
    <t>骄傲的龙王丶</t>
  </si>
  <si>
    <t>李红尘丶</t>
  </si>
  <si>
    <t>五圆</t>
  </si>
  <si>
    <t>飞翔的鸟儿</t>
  </si>
  <si>
    <t>乔十三丶</t>
  </si>
  <si>
    <t>凡人的梦</t>
  </si>
  <si>
    <t>小时候就很皮</t>
  </si>
  <si>
    <t>曲终无意</t>
  </si>
  <si>
    <t>口味太怪</t>
  </si>
  <si>
    <t>黑泽丶纱重</t>
  </si>
  <si>
    <t>薛无衡</t>
  </si>
  <si>
    <t>潇潇暮雨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</si>
  <si>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</si>
  <si>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</si>
  <si>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</si>
  <si>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</si>
  <si>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</si>
  <si>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</si>
  <si>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</si>
  <si>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</si>
  <si>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万年孤独</t>
  </si>
  <si>
    <t>神威再见</t>
  </si>
  <si>
    <t>暮小曦丶</t>
  </si>
  <si>
    <t>超懒的阿元呀</t>
  </si>
  <si>
    <t>遇之则感。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</si>
  <si>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</si>
  <si>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</si>
  <si>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</si>
  <si>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</si>
  <si>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</si>
  <si>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</si>
  <si>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</si>
  <si>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</si>
  <si>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</si>
  <si>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</si>
  <si>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</si>
  <si>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</si>
  <si>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</si>
  <si>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</si>
  <si>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</si>
  <si>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森林女巫林晚阳</t>
  </si>
  <si>
    <t>鲜虾鱼板很Q弹</t>
  </si>
  <si>
    <t>板蓝根薯片</t>
  </si>
  <si>
    <t>影流皇族</t>
  </si>
  <si>
    <t>蔷薇劍里见蔷薇</t>
  </si>
  <si>
    <t>薄野岚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</si>
  <si>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</si>
  <si>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</si>
  <si>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</si>
  <si>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</si>
  <si>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</si>
  <si>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</si>
  <si>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</si>
  <si>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唐时御</t>
  </si>
  <si>
    <t>愁千殇</t>
  </si>
  <si>
    <t>心远地自翩</t>
  </si>
  <si>
    <t>鹿山丶培培</t>
  </si>
  <si>
    <t>㊦゛晴时雨ヾ。</t>
  </si>
  <si>
    <t>西城诀＂</t>
  </si>
  <si>
    <t>斗战圣佛孙悟空</t>
  </si>
  <si>
    <t>北城别＂</t>
  </si>
  <si>
    <t>丶摇光丶</t>
  </si>
  <si>
    <t>落笔如歌歌如月</t>
  </si>
  <si>
    <t>云祗琉璃旧゛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</si>
  <si>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</si>
  <si>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</si>
  <si>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</si>
  <si>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</si>
  <si>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</si>
  <si>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</si>
  <si>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</si>
  <si>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玉嫣</t>
  </si>
  <si>
    <t>刀锋之影丶尧</t>
  </si>
  <si>
    <t>青纪纱</t>
  </si>
  <si>
    <t>寒绯丶月</t>
  </si>
  <si>
    <t>如清如影歌ゎ</t>
  </si>
  <si>
    <t>伴我几度。</t>
  </si>
  <si>
    <t>坂田金时丶</t>
  </si>
  <si>
    <t>墨小豌</t>
  </si>
  <si>
    <t>薏苡酱</t>
  </si>
  <si>
    <t>任离流</t>
  </si>
  <si>
    <t>刀之芳华</t>
  </si>
  <si>
    <t>木清。</t>
  </si>
  <si>
    <t>何月凡</t>
  </si>
  <si>
    <t>裴述</t>
  </si>
  <si>
    <t>椒盐大虾丶</t>
  </si>
  <si>
    <t>丶天才小熊猫丶</t>
  </si>
  <si>
    <t>日无边</t>
  </si>
  <si>
    <t>Fatalbelief</t>
  </si>
  <si>
    <t>Sakura丶道</t>
  </si>
  <si>
    <t>壹生</t>
  </si>
  <si>
    <t>丰兰无息</t>
  </si>
  <si>
    <t>ヅ沐寒霜</t>
  </si>
  <si>
    <t>求球</t>
  </si>
  <si>
    <t>辰夕灬</t>
  </si>
  <si>
    <t>丶时辰丶</t>
  </si>
  <si>
    <t>朱颜辞镜</t>
  </si>
  <si>
    <t>叮当猫づ</t>
  </si>
  <si>
    <t>無為誰心</t>
  </si>
  <si>
    <t>浮生翩跹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</si>
  <si>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</si>
  <si>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</si>
  <si>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</si>
  <si>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</si>
  <si>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</si>
  <si>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</si>
  <si>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</si>
  <si>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</si>
  <si>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请叫我小五哥</t>
  </si>
  <si>
    <t>轩伯颖</t>
  </si>
  <si>
    <t>欲挽游丝萦好梦</t>
  </si>
  <si>
    <t>慕瑾流年</t>
  </si>
  <si>
    <t>蒹葭春羽</t>
  </si>
  <si>
    <t>丶森埋丶</t>
  </si>
  <si>
    <t>晓乀脸冰凉</t>
  </si>
  <si>
    <t>后街里的猪</t>
  </si>
  <si>
    <t>哎ゝ欧巴</t>
  </si>
  <si>
    <t>心晴</t>
  </si>
  <si>
    <t>万里烟云照</t>
  </si>
  <si>
    <t>折扇很帅</t>
  </si>
  <si>
    <t>尔非我良人</t>
  </si>
  <si>
    <t>冷青旋</t>
  </si>
  <si>
    <t>岛屿丶H</t>
  </si>
  <si>
    <t>陨星泪</t>
  </si>
  <si>
    <t>孤城佳人何在</t>
  </si>
  <si>
    <t>衣人</t>
  </si>
  <si>
    <t>柚子茶花丶</t>
  </si>
  <si>
    <t>騎單車的小貓</t>
  </si>
  <si>
    <t>结余</t>
  </si>
  <si>
    <t>漓泉一九九八</t>
  </si>
  <si>
    <t>池小晚</t>
  </si>
  <si>
    <t>夜白衣</t>
  </si>
  <si>
    <t>给我一束花</t>
  </si>
  <si>
    <t>丶公子宇</t>
  </si>
  <si>
    <t>太子龍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</si>
  <si>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</si>
  <si>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</si>
  <si>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</si>
  <si>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</si>
  <si>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</si>
  <si>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</si>
  <si>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</si>
  <si>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</si>
  <si>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</si>
  <si>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</si>
  <si>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</si>
  <si>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凡盻</t>
  </si>
  <si>
    <t>清小柠</t>
  </si>
  <si>
    <t>墨织丶</t>
  </si>
  <si>
    <t>莫倾城灬</t>
  </si>
  <si>
    <t>王的誓言</t>
  </si>
  <si>
    <t>萧何笙</t>
  </si>
  <si>
    <t>绝情灬凌枫</t>
  </si>
  <si>
    <t>（轩辕道尘）</t>
  </si>
  <si>
    <t>离骚笑</t>
  </si>
  <si>
    <t>大大大大眼萌</t>
  </si>
  <si>
    <t>发放</t>
  </si>
  <si>
    <t>守护</t>
  </si>
  <si>
    <t>❀❀長安゛</t>
  </si>
  <si>
    <t>‭玄夜ゞ</t>
  </si>
  <si>
    <t>氿々若曦</t>
  </si>
  <si>
    <t>澄不二</t>
  </si>
  <si>
    <t>神威小枪将</t>
  </si>
  <si>
    <t>丐帮づ</t>
  </si>
  <si>
    <t>老白快跑打不过</t>
  </si>
  <si>
    <t>一朝花满城</t>
  </si>
  <si>
    <t>′君之名灬</t>
  </si>
  <si>
    <t>泯渊</t>
  </si>
  <si>
    <t>一夜雪千山</t>
  </si>
  <si>
    <t>小仙女上天吗</t>
  </si>
  <si>
    <t>杏花村政委白米</t>
  </si>
  <si>
    <t>登徒浪子可奈何</t>
  </si>
  <si>
    <t>劍宸子</t>
  </si>
  <si>
    <t>梦寻千古香ゝ</t>
  </si>
  <si>
    <t>长安</t>
  </si>
  <si>
    <t>听一曲清金钩钓</t>
  </si>
  <si>
    <t>丶北风吹啸月</t>
  </si>
  <si>
    <t>暗夜夜夜</t>
  </si>
  <si>
    <t>夢尤</t>
  </si>
  <si>
    <t>最爱熊猫</t>
  </si>
  <si>
    <t>诺云丶</t>
  </si>
  <si>
    <t>妮珍莎碧</t>
  </si>
  <si>
    <t>龙丘妙之</t>
  </si>
  <si>
    <t>苏小嫙。</t>
  </si>
  <si>
    <t>轩辕明风</t>
  </si>
  <si>
    <t>惜雨</t>
  </si>
  <si>
    <t>请叫我崔傻子</t>
  </si>
  <si>
    <t>丶玉衡丶</t>
  </si>
  <si>
    <t>得贤妻夫复何求</t>
  </si>
  <si>
    <t>糖糖哒</t>
  </si>
  <si>
    <t>百花图</t>
  </si>
  <si>
    <t>凉人丨、梦</t>
  </si>
  <si>
    <t>达娃央宗</t>
  </si>
  <si>
    <t>南音潇潇洒洒ご</t>
  </si>
  <si>
    <t>落熙。</t>
  </si>
  <si>
    <t>謎恋</t>
  </si>
  <si>
    <t>我要摸你的大鸟</t>
  </si>
  <si>
    <t>丶丶白色</t>
  </si>
  <si>
    <t>九霄风霜</t>
  </si>
  <si>
    <t>洛阳承</t>
  </si>
  <si>
    <t>祢璟</t>
  </si>
  <si>
    <t>麻瓜师弟晓透明</t>
  </si>
  <si>
    <t>项羽。㏒</t>
  </si>
  <si>
    <t>卷毛子</t>
  </si>
  <si>
    <t>道葉</t>
  </si>
  <si>
    <t>灬鬼丶舞灬</t>
  </si>
  <si>
    <t>游尘</t>
  </si>
  <si>
    <t>空了</t>
  </si>
  <si>
    <t>一人一枪闯九州</t>
  </si>
  <si>
    <t>繁华似激</t>
  </si>
  <si>
    <t>影逝叹人归</t>
  </si>
  <si>
    <t>最后的武士</t>
  </si>
  <si>
    <t>叶知峰哟</t>
  </si>
  <si>
    <t>蓝莓小恋人</t>
  </si>
  <si>
    <t>此木青肆丶</t>
  </si>
  <si>
    <t>韩66</t>
  </si>
  <si>
    <t>樱．雪蝶</t>
  </si>
  <si>
    <t>FateLibra</t>
  </si>
  <si>
    <t>FateScorpio</t>
  </si>
  <si>
    <t>黄怀雪华</t>
  </si>
  <si>
    <t>社会我陆姐</t>
  </si>
  <si>
    <t>肖贱贱丶</t>
  </si>
  <si>
    <t>明月心丨丶</t>
  </si>
  <si>
    <t>花开叶不败</t>
  </si>
  <si>
    <t>晚下</t>
  </si>
  <si>
    <t>丶夏安</t>
  </si>
  <si>
    <t>我医写我心</t>
  </si>
  <si>
    <t>르르萝莉洒르르</t>
  </si>
  <si>
    <t>我找葫芦娃</t>
  </si>
  <si>
    <t>不见青山</t>
  </si>
  <si>
    <t>想象未来的幸福</t>
  </si>
  <si>
    <t>颖凌雪</t>
  </si>
  <si>
    <t>天使二号</t>
  </si>
  <si>
    <t>圣痕丶威神</t>
  </si>
  <si>
    <t>天神索隆</t>
  </si>
  <si>
    <t>爱的时辰</t>
  </si>
  <si>
    <t>偶盖伦贼6丶</t>
  </si>
  <si>
    <t>孤心傲ソ</t>
  </si>
  <si>
    <t>草谷奶奶</t>
  </si>
  <si>
    <t>沉默的天使</t>
  </si>
  <si>
    <t>提莫似的家里蹲</t>
  </si>
  <si>
    <t>半朵绯烟</t>
  </si>
  <si>
    <t>唐川穹</t>
  </si>
  <si>
    <t>路尧。</t>
  </si>
  <si>
    <t>情多多哆情</t>
  </si>
  <si>
    <t>清暝月华丶</t>
  </si>
  <si>
    <t>益恩若</t>
  </si>
  <si>
    <t>修释幽</t>
  </si>
  <si>
    <t>乄框框ら</t>
  </si>
  <si>
    <t>顾寻影</t>
  </si>
  <si>
    <t>大大大大西瓜丶</t>
  </si>
  <si>
    <t>ジ我走后面</t>
  </si>
  <si>
    <t>巽雷风动</t>
  </si>
  <si>
    <t>Mask、天洛</t>
  </si>
  <si>
    <t>我是兔子哟</t>
  </si>
  <si>
    <t>剑圣|盖聂</t>
  </si>
  <si>
    <t>虞姬。㏒</t>
  </si>
  <si>
    <t>萌萌的小旦</t>
  </si>
  <si>
    <t>荰菰求败</t>
  </si>
  <si>
    <t>卿素丶</t>
  </si>
  <si>
    <t>紫心瞳</t>
  </si>
  <si>
    <t>纯阳甲字声望商</t>
  </si>
  <si>
    <t>顾千尘</t>
  </si>
  <si>
    <t>有琴梦玄</t>
  </si>
  <si>
    <t>肆虐丶龙</t>
  </si>
  <si>
    <t>天涯劍豪</t>
  </si>
  <si>
    <t>璐小虫</t>
  </si>
  <si>
    <t>暴走的板栗</t>
  </si>
  <si>
    <t>游富来</t>
  </si>
  <si>
    <t>冬至将至ゅ</t>
  </si>
  <si>
    <t>棉花唐不甜</t>
  </si>
  <si>
    <t>淡淡灬徊忆</t>
  </si>
  <si>
    <t>Enko醉銘</t>
  </si>
  <si>
    <t>青笺画卿颜</t>
  </si>
  <si>
    <t>鸢语慕君年</t>
  </si>
  <si>
    <t>九猫之命</t>
  </si>
  <si>
    <t>星舞焚影</t>
  </si>
  <si>
    <t>若叶葵</t>
  </si>
  <si>
    <t>吉詳天</t>
  </si>
  <si>
    <t>丨西门公子</t>
  </si>
  <si>
    <t>野原美伢伢</t>
  </si>
  <si>
    <t>丶柳若白</t>
  </si>
  <si>
    <t>野原广志の</t>
  </si>
  <si>
    <t>扶摇〃</t>
  </si>
  <si>
    <t>墨诗</t>
  </si>
  <si>
    <t>蝶。汐晨</t>
  </si>
  <si>
    <t>咖喱给给。</t>
  </si>
  <si>
    <t>三尺雪</t>
  </si>
  <si>
    <t>放肆厶</t>
  </si>
  <si>
    <t>睡醒要打怪</t>
  </si>
  <si>
    <t/>
  </si>
  <si>
    <t>＇知喵喵丶</t>
  </si>
  <si>
    <t>李百万</t>
  </si>
  <si>
    <t>翊兮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</si>
</sst>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60"/>
  <sheetViews>
    <sheetView zoomScaleNormal="100" workbookViewId="0">
      <selection activeCell="M8" sqref="M8"/>
    </sheetView>
  </sheetViews>
  <sheetFormatPr defaultRowHeight="15"/>
  <cols>
    <col min="1" max="1" width="16.5703125" style="10" bestFit="1" customWidth="1"/>
    <col min="2" max="2" width="16.5703125" style="10" customWidth="1"/>
    <col min="3" max="3" width="9.5703125" style="10" bestFit="1" customWidth="1"/>
    <col min="4" max="4" width="9.5703125" style="10" customWidth="1"/>
    <col min="5" max="5" width="5.28515625" style="10" bestFit="1" customWidth="1"/>
    <col min="6" max="16384" width="9.140625" style="10"/>
  </cols>
  <sheetData>
    <row r="1" spans="1:4">
      <c r="A1" s="10" t="s">
        <v>22</v>
      </c>
      <c r="B1" s="10" t="s">
        <v>23</v>
      </c>
      <c r="C1" s="10" t="s">
        <v>24</v>
      </c>
      <c r="D1" s="10" t="s">
        <v>25</v>
      </c>
    </row>
    <row r="2" spans="1:4">
      <c r="A2" s="10" t="s">
        <v>411</v>
      </c>
      <c r="B2" s="10" t="s">
        <v>212</v>
      </c>
      <c r="C2" s="10">
        <v>180</v>
      </c>
      <c r="D2" s="10">
        <v>180</v>
      </c>
    </row>
    <row r="3" spans="1:4">
      <c r="A3" s="10" t="s">
        <v>125</v>
      </c>
      <c r="B3" s="10" t="s">
        <v>116</v>
      </c>
      <c r="C3" s="10">
        <v>180</v>
      </c>
      <c r="D3" s="10">
        <v>180</v>
      </c>
    </row>
    <row r="4" spans="1:4">
      <c r="A4" s="10" t="s">
        <v>27</v>
      </c>
      <c r="B4" s="10" t="s">
        <v>26</v>
      </c>
      <c r="C4" s="10">
        <v>180</v>
      </c>
      <c r="D4" s="10">
        <v>180</v>
      </c>
    </row>
    <row r="5" spans="1:4">
      <c r="A5" s="10" t="s">
        <v>133</v>
      </c>
      <c r="B5" s="10" t="s">
        <v>116</v>
      </c>
      <c r="C5" s="10">
        <v>180</v>
      </c>
      <c r="D5" s="10">
        <v>180</v>
      </c>
    </row>
    <row r="6" spans="1:4">
      <c r="A6" s="10" t="s">
        <v>49</v>
      </c>
      <c r="B6" s="10" t="s">
        <v>26</v>
      </c>
      <c r="C6" s="10">
        <v>159</v>
      </c>
      <c r="D6" s="10">
        <v>159</v>
      </c>
    </row>
    <row r="7" spans="1:4">
      <c r="A7" s="10" t="s">
        <v>135</v>
      </c>
      <c r="B7" s="10" t="s">
        <v>116</v>
      </c>
      <c r="C7" s="10">
        <v>158</v>
      </c>
      <c r="D7" s="10">
        <v>158</v>
      </c>
    </row>
    <row r="8" spans="1:4">
      <c r="A8" s="10" t="s">
        <v>129</v>
      </c>
      <c r="B8" s="10" t="s">
        <v>116</v>
      </c>
      <c r="C8" s="10">
        <v>156</v>
      </c>
      <c r="D8" s="10">
        <v>156</v>
      </c>
    </row>
    <row r="9" spans="1:4">
      <c r="A9" s="10" t="s">
        <v>126</v>
      </c>
      <c r="B9" s="10" t="s">
        <v>116</v>
      </c>
      <c r="C9" s="10">
        <v>156</v>
      </c>
      <c r="D9" s="10">
        <v>156</v>
      </c>
    </row>
    <row r="10" spans="1:4">
      <c r="A10" s="10" t="s">
        <v>407</v>
      </c>
      <c r="B10" s="10" t="s">
        <v>212</v>
      </c>
      <c r="C10" s="10">
        <v>156</v>
      </c>
      <c r="D10" s="10">
        <v>156</v>
      </c>
    </row>
    <row r="11" spans="1:4">
      <c r="A11" s="10" t="s">
        <v>431</v>
      </c>
      <c r="B11" s="10" t="s">
        <v>26</v>
      </c>
      <c r="C11" s="10">
        <v>155</v>
      </c>
      <c r="D11" s="10">
        <v>155</v>
      </c>
    </row>
    <row r="12" spans="1:4">
      <c r="A12" s="10" t="s">
        <v>258</v>
      </c>
      <c r="B12" s="10" t="s">
        <v>212</v>
      </c>
      <c r="C12" s="10">
        <v>155</v>
      </c>
      <c r="D12" s="10">
        <v>155</v>
      </c>
    </row>
    <row r="13" spans="1:4">
      <c r="A13" s="10" t="s">
        <v>287</v>
      </c>
      <c r="B13" s="10" t="s">
        <v>271</v>
      </c>
      <c r="C13" s="10">
        <v>155</v>
      </c>
      <c r="D13" s="10">
        <v>155</v>
      </c>
    </row>
    <row r="14" spans="1:4">
      <c r="A14" s="10" t="s">
        <v>218</v>
      </c>
      <c r="B14" s="10" t="s">
        <v>212</v>
      </c>
      <c r="C14" s="10">
        <v>155</v>
      </c>
      <c r="D14" s="10">
        <v>155</v>
      </c>
    </row>
    <row r="15" spans="1:4">
      <c r="A15" s="10" t="s">
        <v>478</v>
      </c>
      <c r="B15" s="10" t="s">
        <v>26</v>
      </c>
      <c r="C15" s="10">
        <v>150</v>
      </c>
      <c r="D15" s="10">
        <v>150</v>
      </c>
    </row>
    <row r="16" spans="1:4">
      <c r="A16" s="10" t="s">
        <v>512</v>
      </c>
      <c r="B16" s="10" t="s">
        <v>271</v>
      </c>
      <c r="C16" s="10">
        <v>146</v>
      </c>
      <c r="D16" s="10">
        <v>146</v>
      </c>
    </row>
    <row r="17" spans="1:4">
      <c r="A17" s="10" t="s">
        <v>211</v>
      </c>
      <c r="B17" s="10" t="s">
        <v>212</v>
      </c>
      <c r="C17" s="10">
        <v>146</v>
      </c>
      <c r="D17" s="10">
        <v>146</v>
      </c>
    </row>
    <row r="18" spans="1:4">
      <c r="A18" s="10" t="s">
        <v>213</v>
      </c>
      <c r="B18" s="10" t="s">
        <v>212</v>
      </c>
      <c r="C18" s="10">
        <v>145</v>
      </c>
      <c r="D18" s="10">
        <v>145</v>
      </c>
    </row>
    <row r="19" spans="1:4">
      <c r="A19" s="10" t="s">
        <v>221</v>
      </c>
      <c r="B19" s="10" t="s">
        <v>212</v>
      </c>
      <c r="C19" s="10">
        <v>141</v>
      </c>
      <c r="D19" s="10">
        <v>141</v>
      </c>
    </row>
    <row r="20" spans="1:4">
      <c r="A20" s="10" t="s">
        <v>292</v>
      </c>
      <c r="B20" s="10" t="s">
        <v>271</v>
      </c>
      <c r="C20" s="10">
        <v>140</v>
      </c>
      <c r="D20" s="10">
        <v>140</v>
      </c>
    </row>
    <row r="21" spans="1:4">
      <c r="A21" s="10" t="s">
        <v>390</v>
      </c>
      <c r="B21" s="10" t="s">
        <v>26</v>
      </c>
      <c r="C21" s="10">
        <v>140</v>
      </c>
      <c r="D21" s="10">
        <v>140</v>
      </c>
    </row>
    <row r="22" spans="1:4">
      <c r="A22" s="10" t="s">
        <v>511</v>
      </c>
      <c r="B22" s="10" t="s">
        <v>212</v>
      </c>
      <c r="C22" s="10">
        <v>140</v>
      </c>
      <c r="D22" s="10">
        <v>140</v>
      </c>
    </row>
    <row r="23" spans="1:4">
      <c r="A23" s="10" t="s">
        <v>346</v>
      </c>
      <c r="B23" s="10" t="s">
        <v>271</v>
      </c>
      <c r="C23" s="10">
        <v>140</v>
      </c>
      <c r="D23" s="10">
        <v>140</v>
      </c>
    </row>
    <row r="24" spans="1:4">
      <c r="A24" s="10" t="s">
        <v>520</v>
      </c>
      <c r="B24" s="10" t="s">
        <v>212</v>
      </c>
      <c r="C24" s="10">
        <v>140</v>
      </c>
      <c r="D24" s="10">
        <v>140</v>
      </c>
    </row>
    <row r="25" spans="1:4">
      <c r="A25" s="10" t="s">
        <v>280</v>
      </c>
      <c r="B25" s="10" t="s">
        <v>271</v>
      </c>
      <c r="C25" s="10">
        <v>134</v>
      </c>
      <c r="D25" s="10">
        <v>134</v>
      </c>
    </row>
    <row r="26" spans="1:4">
      <c r="A26" s="10" t="s">
        <v>444</v>
      </c>
      <c r="B26" s="10" t="s">
        <v>271</v>
      </c>
      <c r="C26" s="10">
        <v>122</v>
      </c>
      <c r="D26" s="10">
        <v>122</v>
      </c>
    </row>
    <row r="27" spans="1:4">
      <c r="A27" s="10" t="s">
        <v>118</v>
      </c>
      <c r="B27" s="10" t="s">
        <v>116</v>
      </c>
      <c r="C27" s="10">
        <v>122</v>
      </c>
      <c r="D27" s="10">
        <v>122</v>
      </c>
    </row>
    <row r="28" spans="1:4">
      <c r="A28" s="10" t="s">
        <v>219</v>
      </c>
      <c r="B28" s="10" t="s">
        <v>212</v>
      </c>
      <c r="C28" s="10">
        <v>121</v>
      </c>
      <c r="D28" s="10">
        <v>121</v>
      </c>
    </row>
    <row r="29" spans="1:4">
      <c r="A29" s="10" t="s">
        <v>123</v>
      </c>
      <c r="B29" s="10" t="s">
        <v>116</v>
      </c>
      <c r="C29" s="10">
        <v>120</v>
      </c>
      <c r="D29" s="10">
        <v>120</v>
      </c>
    </row>
    <row r="30" spans="1:4">
      <c r="A30" s="10" t="s">
        <v>141</v>
      </c>
      <c r="B30" s="10" t="s">
        <v>116</v>
      </c>
      <c r="C30" s="10">
        <v>120</v>
      </c>
      <c r="D30" s="10">
        <v>120</v>
      </c>
    </row>
    <row r="31" spans="1:4">
      <c r="A31" s="10" t="s">
        <v>410</v>
      </c>
      <c r="B31" s="10" t="s">
        <v>271</v>
      </c>
      <c r="C31" s="10">
        <v>120</v>
      </c>
      <c r="D31" s="10">
        <v>120</v>
      </c>
    </row>
    <row r="32" spans="1:4">
      <c r="A32" s="10" t="s">
        <v>428</v>
      </c>
      <c r="B32" s="10" t="s">
        <v>271</v>
      </c>
      <c r="C32" s="10">
        <v>120</v>
      </c>
      <c r="D32" s="10">
        <v>120</v>
      </c>
    </row>
    <row r="33" spans="1:4">
      <c r="A33" s="10" t="s">
        <v>274</v>
      </c>
      <c r="B33" s="10" t="s">
        <v>271</v>
      </c>
      <c r="C33" s="10">
        <v>120</v>
      </c>
      <c r="D33" s="10">
        <v>120</v>
      </c>
    </row>
    <row r="34" spans="1:4">
      <c r="A34" s="10" t="s">
        <v>517</v>
      </c>
      <c r="B34" s="10" t="s">
        <v>212</v>
      </c>
      <c r="C34" s="10">
        <v>120</v>
      </c>
      <c r="D34" s="10">
        <v>120</v>
      </c>
    </row>
    <row r="35" spans="1:4">
      <c r="A35" s="10" t="s">
        <v>484</v>
      </c>
      <c r="B35" s="10" t="s">
        <v>26</v>
      </c>
      <c r="C35" s="10">
        <v>116</v>
      </c>
      <c r="D35" s="10">
        <v>116</v>
      </c>
    </row>
    <row r="36" spans="1:4">
      <c r="A36" s="10" t="s">
        <v>74</v>
      </c>
      <c r="B36" s="10" t="s">
        <v>26</v>
      </c>
      <c r="C36" s="10">
        <v>115</v>
      </c>
      <c r="D36" s="10">
        <v>115</v>
      </c>
    </row>
    <row r="37" spans="1:4">
      <c r="A37" s="10" t="s">
        <v>272</v>
      </c>
      <c r="B37" s="10" t="s">
        <v>271</v>
      </c>
      <c r="C37" s="10">
        <v>115</v>
      </c>
      <c r="D37" s="10">
        <v>115</v>
      </c>
    </row>
    <row r="38" spans="1:4">
      <c r="A38" s="10" t="s">
        <v>409</v>
      </c>
      <c r="B38" s="10" t="s">
        <v>212</v>
      </c>
      <c r="C38" s="10">
        <v>115</v>
      </c>
      <c r="D38" s="10">
        <v>115</v>
      </c>
    </row>
    <row r="39" spans="1:4">
      <c r="A39" s="10" t="s">
        <v>510</v>
      </c>
      <c r="B39" s="10" t="s">
        <v>212</v>
      </c>
      <c r="C39" s="10">
        <v>115</v>
      </c>
      <c r="D39" s="10">
        <v>115</v>
      </c>
    </row>
    <row r="40" spans="1:4">
      <c r="A40" s="10" t="s">
        <v>58</v>
      </c>
      <c r="B40" s="10" t="s">
        <v>26</v>
      </c>
      <c r="C40" s="10">
        <v>115</v>
      </c>
      <c r="D40" s="10">
        <v>115</v>
      </c>
    </row>
    <row r="41" spans="1:4">
      <c r="A41" s="10" t="s">
        <v>31</v>
      </c>
      <c r="B41" s="10" t="s">
        <v>26</v>
      </c>
      <c r="C41" s="10">
        <v>105</v>
      </c>
      <c r="D41" s="10">
        <v>105</v>
      </c>
    </row>
    <row r="42" spans="1:4">
      <c r="A42" s="10" t="s">
        <v>33</v>
      </c>
      <c r="B42" s="10" t="s">
        <v>26</v>
      </c>
      <c r="C42" s="10">
        <v>105</v>
      </c>
      <c r="D42" s="10">
        <v>105</v>
      </c>
    </row>
    <row r="43" spans="1:4">
      <c r="A43" s="10" t="s">
        <v>127</v>
      </c>
      <c r="B43" s="10" t="s">
        <v>116</v>
      </c>
      <c r="C43" s="10">
        <v>105</v>
      </c>
      <c r="D43" s="10">
        <v>105</v>
      </c>
    </row>
    <row r="44" spans="1:4">
      <c r="A44" s="10" t="s">
        <v>508</v>
      </c>
      <c r="B44" s="10" t="s">
        <v>212</v>
      </c>
      <c r="C44" s="10">
        <v>100</v>
      </c>
      <c r="D44" s="10">
        <v>100</v>
      </c>
    </row>
    <row r="45" spans="1:4">
      <c r="A45" s="10" t="s">
        <v>34</v>
      </c>
      <c r="B45" s="10" t="s">
        <v>26</v>
      </c>
      <c r="C45" s="10">
        <v>100</v>
      </c>
      <c r="D45" s="10">
        <v>100</v>
      </c>
    </row>
    <row r="46" spans="1:4">
      <c r="A46" s="10" t="s">
        <v>523</v>
      </c>
      <c r="B46" s="10" t="s">
        <v>271</v>
      </c>
      <c r="C46" s="10">
        <v>87</v>
      </c>
      <c r="D46" s="10">
        <v>87</v>
      </c>
    </row>
    <row r="47" spans="1:4">
      <c r="A47" s="10" t="s">
        <v>276</v>
      </c>
      <c r="B47" s="10" t="s">
        <v>271</v>
      </c>
      <c r="C47" s="10">
        <v>85</v>
      </c>
      <c r="D47" s="10">
        <v>85</v>
      </c>
    </row>
    <row r="48" spans="1:4">
      <c r="A48" s="10" t="s">
        <v>358</v>
      </c>
      <c r="B48" s="10" t="s">
        <v>271</v>
      </c>
      <c r="C48" s="10">
        <v>83</v>
      </c>
      <c r="D48" s="10">
        <v>83</v>
      </c>
    </row>
    <row r="49" spans="1:4">
      <c r="A49" s="10" t="s">
        <v>215</v>
      </c>
      <c r="B49" s="10" t="s">
        <v>212</v>
      </c>
      <c r="C49" s="10">
        <v>83</v>
      </c>
      <c r="D49" s="10">
        <v>83</v>
      </c>
    </row>
    <row r="50" spans="1:4">
      <c r="A50" s="10" t="s">
        <v>389</v>
      </c>
      <c r="B50" s="10" t="s">
        <v>26</v>
      </c>
      <c r="C50" s="10">
        <v>81</v>
      </c>
      <c r="D50" s="10">
        <v>81</v>
      </c>
    </row>
    <row r="51" spans="1:4">
      <c r="A51" s="10" t="s">
        <v>283</v>
      </c>
      <c r="B51" s="10" t="s">
        <v>271</v>
      </c>
      <c r="C51" s="10">
        <v>81</v>
      </c>
      <c r="D51" s="10">
        <v>81</v>
      </c>
    </row>
    <row r="52" spans="1:4">
      <c r="A52" s="10" t="s">
        <v>284</v>
      </c>
      <c r="B52" s="10" t="s">
        <v>271</v>
      </c>
      <c r="C52" s="10">
        <v>81</v>
      </c>
      <c r="D52" s="10">
        <v>81</v>
      </c>
    </row>
    <row r="53" spans="1:4">
      <c r="A53" s="10" t="s">
        <v>124</v>
      </c>
      <c r="B53" s="10" t="s">
        <v>116</v>
      </c>
      <c r="C53" s="10">
        <v>80</v>
      </c>
      <c r="D53" s="10">
        <v>80</v>
      </c>
    </row>
    <row r="54" spans="1:4">
      <c r="A54" s="10" t="s">
        <v>196</v>
      </c>
      <c r="B54" s="10" t="s">
        <v>116</v>
      </c>
      <c r="C54" s="10">
        <v>80</v>
      </c>
      <c r="D54" s="10">
        <v>80</v>
      </c>
    </row>
    <row r="55" spans="1:4">
      <c r="A55" s="10" t="s">
        <v>142</v>
      </c>
      <c r="B55" s="10" t="s">
        <v>116</v>
      </c>
      <c r="C55" s="10">
        <v>80</v>
      </c>
      <c r="D55" s="10">
        <v>80</v>
      </c>
    </row>
    <row r="56" spans="1:4">
      <c r="A56" s="10" t="s">
        <v>146</v>
      </c>
      <c r="B56" s="10" t="s">
        <v>116</v>
      </c>
      <c r="C56" s="10">
        <v>80</v>
      </c>
      <c r="D56" s="10">
        <v>80</v>
      </c>
    </row>
    <row r="57" spans="1:4">
      <c r="A57" s="10" t="s">
        <v>480</v>
      </c>
      <c r="B57" s="10" t="s">
        <v>271</v>
      </c>
      <c r="C57" s="10">
        <v>80</v>
      </c>
      <c r="D57" s="10">
        <v>80</v>
      </c>
    </row>
    <row r="58" spans="1:4">
      <c r="A58" s="10" t="s">
        <v>35</v>
      </c>
      <c r="B58" s="10" t="s">
        <v>26</v>
      </c>
      <c r="C58" s="10">
        <v>80</v>
      </c>
      <c r="D58" s="10">
        <v>80</v>
      </c>
    </row>
    <row r="59" spans="1:4">
      <c r="A59" s="10" t="s">
        <v>214</v>
      </c>
      <c r="B59" s="10" t="s">
        <v>212</v>
      </c>
      <c r="C59" s="10">
        <v>80</v>
      </c>
      <c r="D59" s="10">
        <v>80</v>
      </c>
    </row>
    <row r="60" spans="1:4">
      <c r="A60" s="10" t="s">
        <v>222</v>
      </c>
      <c r="B60" s="10" t="s">
        <v>212</v>
      </c>
      <c r="C60" s="10">
        <v>80</v>
      </c>
      <c r="D60" s="10">
        <v>80</v>
      </c>
    </row>
    <row r="61" spans="1:4">
      <c r="A61" s="10" t="s">
        <v>234</v>
      </c>
      <c r="B61" s="10" t="s">
        <v>212</v>
      </c>
      <c r="C61" s="10">
        <v>80</v>
      </c>
      <c r="D61" s="10">
        <v>80</v>
      </c>
    </row>
    <row r="62" spans="1:4">
      <c r="A62" s="10" t="s">
        <v>479</v>
      </c>
      <c r="B62" s="10" t="s">
        <v>212</v>
      </c>
      <c r="C62" s="10">
        <v>80</v>
      </c>
      <c r="D62" s="10">
        <v>80</v>
      </c>
    </row>
    <row r="63" spans="1:4">
      <c r="A63" s="10" t="s">
        <v>550</v>
      </c>
      <c r="B63" s="10" t="s">
        <v>212</v>
      </c>
      <c r="C63" s="10">
        <v>80</v>
      </c>
      <c r="D63" s="10">
        <v>80</v>
      </c>
    </row>
    <row r="64" spans="1:4">
      <c r="A64" s="10" t="s">
        <v>43</v>
      </c>
      <c r="B64" s="10" t="s">
        <v>271</v>
      </c>
      <c r="C64" s="10">
        <v>80</v>
      </c>
      <c r="D64" s="10">
        <v>80</v>
      </c>
    </row>
    <row r="65" spans="1:4">
      <c r="A65" s="10" t="s">
        <v>592</v>
      </c>
      <c r="B65" s="10" t="s">
        <v>116</v>
      </c>
      <c r="C65" s="10">
        <v>80</v>
      </c>
      <c r="D65" s="10">
        <v>80</v>
      </c>
    </row>
    <row r="66" spans="1:4">
      <c r="A66" s="10" t="s">
        <v>446</v>
      </c>
      <c r="B66" s="10" t="s">
        <v>116</v>
      </c>
      <c r="C66" s="10">
        <v>80</v>
      </c>
      <c r="D66" s="10">
        <v>80</v>
      </c>
    </row>
    <row r="67" spans="1:4">
      <c r="A67" s="10" t="s">
        <v>120</v>
      </c>
      <c r="B67" s="10" t="s">
        <v>116</v>
      </c>
      <c r="C67" s="10">
        <v>80</v>
      </c>
      <c r="D67" s="10">
        <v>80</v>
      </c>
    </row>
    <row r="68" spans="1:4">
      <c r="A68" s="10" t="s">
        <v>149</v>
      </c>
      <c r="B68" s="10" t="s">
        <v>116</v>
      </c>
      <c r="C68" s="10">
        <v>80</v>
      </c>
      <c r="D68" s="10">
        <v>80</v>
      </c>
    </row>
    <row r="69" spans="1:4">
      <c r="A69" s="10" t="s">
        <v>147</v>
      </c>
      <c r="B69" s="10" t="s">
        <v>116</v>
      </c>
      <c r="C69" s="10">
        <v>80</v>
      </c>
      <c r="D69" s="10">
        <v>80</v>
      </c>
    </row>
    <row r="70" spans="1:4">
      <c r="A70" s="10" t="s">
        <v>506</v>
      </c>
      <c r="B70" s="10" t="s">
        <v>212</v>
      </c>
      <c r="C70" s="10">
        <v>75</v>
      </c>
      <c r="D70" s="10">
        <v>75</v>
      </c>
    </row>
    <row r="71" spans="1:4">
      <c r="A71" s="10" t="s">
        <v>509</v>
      </c>
      <c r="B71" s="10" t="s">
        <v>212</v>
      </c>
      <c r="C71" s="10">
        <v>75</v>
      </c>
      <c r="D71" s="10">
        <v>75</v>
      </c>
    </row>
    <row r="72" spans="1:4">
      <c r="A72" s="10" t="s">
        <v>507</v>
      </c>
      <c r="B72" s="10" t="s">
        <v>271</v>
      </c>
      <c r="C72" s="10">
        <v>75</v>
      </c>
      <c r="D72" s="10">
        <v>75</v>
      </c>
    </row>
    <row r="73" spans="1:4">
      <c r="A73" s="10" t="s">
        <v>251</v>
      </c>
      <c r="B73" s="10" t="s">
        <v>212</v>
      </c>
      <c r="C73" s="10">
        <v>75</v>
      </c>
      <c r="D73" s="10">
        <v>75</v>
      </c>
    </row>
    <row r="74" spans="1:4">
      <c r="A74" s="10" t="s">
        <v>273</v>
      </c>
      <c r="B74" s="10" t="s">
        <v>271</v>
      </c>
      <c r="C74" s="10">
        <v>75</v>
      </c>
      <c r="D74" s="10">
        <v>75</v>
      </c>
    </row>
    <row r="75" spans="1:4">
      <c r="A75" s="10" t="s">
        <v>279</v>
      </c>
      <c r="B75" s="10" t="s">
        <v>271</v>
      </c>
      <c r="C75" s="10">
        <v>75</v>
      </c>
      <c r="D75" s="10">
        <v>75</v>
      </c>
    </row>
    <row r="76" spans="1:4">
      <c r="A76" s="10" t="s">
        <v>370</v>
      </c>
      <c r="B76" s="10" t="s">
        <v>271</v>
      </c>
      <c r="C76" s="10">
        <v>65</v>
      </c>
      <c r="D76" s="10">
        <v>65</v>
      </c>
    </row>
    <row r="77" spans="1:4">
      <c r="A77" s="10" t="s">
        <v>41</v>
      </c>
      <c r="B77" s="10" t="s">
        <v>26</v>
      </c>
      <c r="C77" s="10">
        <v>65</v>
      </c>
      <c r="D77" s="10">
        <v>65</v>
      </c>
    </row>
    <row r="78" spans="1:4">
      <c r="A78" s="10" t="s">
        <v>15</v>
      </c>
      <c r="B78" s="10" t="s">
        <v>212</v>
      </c>
      <c r="C78" s="10">
        <v>61</v>
      </c>
      <c r="D78" s="10">
        <v>61</v>
      </c>
    </row>
    <row r="79" spans="1:4">
      <c r="A79" s="10" t="s">
        <v>40</v>
      </c>
      <c r="B79" s="10" t="s">
        <v>26</v>
      </c>
      <c r="C79" s="10">
        <v>61</v>
      </c>
      <c r="D79" s="10">
        <v>61</v>
      </c>
    </row>
    <row r="80" spans="1:4">
      <c r="A80" s="10" t="s">
        <v>38</v>
      </c>
      <c r="B80" s="10" t="s">
        <v>26</v>
      </c>
      <c r="C80" s="10">
        <v>60</v>
      </c>
      <c r="D80" s="10">
        <v>60</v>
      </c>
    </row>
    <row r="81" spans="1:4">
      <c r="A81" s="10" t="s">
        <v>36</v>
      </c>
      <c r="B81" s="10" t="s">
        <v>26</v>
      </c>
      <c r="C81" s="10">
        <v>60</v>
      </c>
      <c r="D81" s="10">
        <v>60</v>
      </c>
    </row>
    <row r="82" spans="1:4">
      <c r="A82" s="10" t="s">
        <v>216</v>
      </c>
      <c r="B82" s="10" t="s">
        <v>212</v>
      </c>
      <c r="C82" s="10">
        <v>43</v>
      </c>
      <c r="D82" s="10">
        <v>43</v>
      </c>
    </row>
    <row r="83" spans="1:4">
      <c r="A83" s="10" t="s">
        <v>265</v>
      </c>
      <c r="B83" s="10" t="s">
        <v>116</v>
      </c>
      <c r="C83" s="10">
        <v>41</v>
      </c>
      <c r="D83" s="10">
        <v>41</v>
      </c>
    </row>
    <row r="84" spans="1:4">
      <c r="A84" s="10" t="s">
        <v>361</v>
      </c>
      <c r="B84" s="10" t="s">
        <v>271</v>
      </c>
      <c r="C84" s="10">
        <v>41</v>
      </c>
      <c r="D84" s="10">
        <v>41</v>
      </c>
    </row>
    <row r="85" spans="1:4">
      <c r="A85" s="10" t="s">
        <v>514</v>
      </c>
      <c r="B85" s="10" t="s">
        <v>212</v>
      </c>
      <c r="C85" s="10">
        <v>41</v>
      </c>
      <c r="D85" s="10">
        <v>41</v>
      </c>
    </row>
    <row r="86" spans="1:4">
      <c r="A86" s="10" t="s">
        <v>513</v>
      </c>
      <c r="B86" s="10" t="s">
        <v>212</v>
      </c>
      <c r="C86" s="10">
        <v>41</v>
      </c>
      <c r="D86" s="10">
        <v>41</v>
      </c>
    </row>
    <row r="87" spans="1:4">
      <c r="A87" s="10" t="s">
        <v>139</v>
      </c>
      <c r="B87" s="10" t="s">
        <v>116</v>
      </c>
      <c r="C87" s="10">
        <v>41</v>
      </c>
      <c r="D87" s="10">
        <v>41</v>
      </c>
    </row>
    <row r="88" spans="1:4">
      <c r="A88" s="10" t="s">
        <v>342</v>
      </c>
      <c r="B88" s="10" t="s">
        <v>271</v>
      </c>
      <c r="C88" s="10">
        <v>40</v>
      </c>
      <c r="D88" s="10">
        <v>40</v>
      </c>
    </row>
    <row r="89" spans="1:4">
      <c r="A89" s="10" t="s">
        <v>103</v>
      </c>
      <c r="B89" s="10" t="s">
        <v>26</v>
      </c>
      <c r="C89" s="10">
        <v>40</v>
      </c>
      <c r="D89" s="10">
        <v>40</v>
      </c>
    </row>
    <row r="90" spans="1:4">
      <c r="A90" s="10" t="s">
        <v>281</v>
      </c>
      <c r="B90" s="10" t="s">
        <v>271</v>
      </c>
      <c r="C90" s="10">
        <v>40</v>
      </c>
      <c r="D90" s="10">
        <v>40</v>
      </c>
    </row>
    <row r="91" spans="1:4">
      <c r="A91" s="10" t="s">
        <v>518</v>
      </c>
      <c r="B91" s="10" t="s">
        <v>26</v>
      </c>
      <c r="C91" s="10">
        <v>40</v>
      </c>
      <c r="D91" s="10">
        <v>40</v>
      </c>
    </row>
    <row r="92" spans="1:4">
      <c r="A92" s="10" t="s">
        <v>515</v>
      </c>
      <c r="B92" s="10" t="s">
        <v>212</v>
      </c>
      <c r="C92" s="10">
        <v>40</v>
      </c>
      <c r="D92" s="10">
        <v>40</v>
      </c>
    </row>
    <row r="93" spans="1:4">
      <c r="A93" s="10" t="s">
        <v>119</v>
      </c>
      <c r="B93" s="10" t="s">
        <v>116</v>
      </c>
      <c r="C93" s="10">
        <v>40</v>
      </c>
      <c r="D93" s="10">
        <v>40</v>
      </c>
    </row>
    <row r="94" spans="1:4">
      <c r="A94" s="10" t="s">
        <v>357</v>
      </c>
      <c r="B94" s="10" t="s">
        <v>271</v>
      </c>
      <c r="C94" s="10">
        <v>40</v>
      </c>
      <c r="D94" s="10">
        <v>40</v>
      </c>
    </row>
    <row r="95" spans="1:4">
      <c r="A95" s="10" t="s">
        <v>354</v>
      </c>
      <c r="B95" s="10" t="s">
        <v>212</v>
      </c>
      <c r="C95" s="10">
        <v>40</v>
      </c>
      <c r="D95" s="10">
        <v>40</v>
      </c>
    </row>
    <row r="96" spans="1:4">
      <c r="A96" s="10" t="s">
        <v>487</v>
      </c>
      <c r="B96" s="10" t="s">
        <v>26</v>
      </c>
      <c r="C96" s="10">
        <v>40</v>
      </c>
      <c r="D96" s="10">
        <v>40</v>
      </c>
    </row>
    <row r="97" spans="1:4">
      <c r="A97" s="10" t="s">
        <v>492</v>
      </c>
      <c r="B97" s="10" t="s">
        <v>212</v>
      </c>
      <c r="C97" s="10">
        <v>40</v>
      </c>
      <c r="D97" s="10">
        <v>40</v>
      </c>
    </row>
    <row r="98" spans="1:4">
      <c r="A98" s="10" t="s">
        <v>516</v>
      </c>
      <c r="B98" s="10" t="s">
        <v>212</v>
      </c>
      <c r="C98" s="10">
        <v>40</v>
      </c>
      <c r="D98" s="10">
        <v>40</v>
      </c>
    </row>
    <row r="99" spans="1:4">
      <c r="A99" s="10" t="s">
        <v>425</v>
      </c>
      <c r="B99" s="10" t="s">
        <v>212</v>
      </c>
      <c r="C99" s="10">
        <v>40</v>
      </c>
      <c r="D99" s="10">
        <v>40</v>
      </c>
    </row>
    <row r="100" spans="1:4">
      <c r="A100" s="10" t="s">
        <v>220</v>
      </c>
      <c r="B100" s="10" t="s">
        <v>212</v>
      </c>
      <c r="C100" s="10">
        <v>40</v>
      </c>
      <c r="D100" s="10">
        <v>40</v>
      </c>
    </row>
    <row r="101" spans="1:4">
      <c r="A101" s="10" t="s">
        <v>278</v>
      </c>
      <c r="B101" s="10" t="s">
        <v>271</v>
      </c>
      <c r="C101" s="10">
        <v>40</v>
      </c>
      <c r="D101" s="10">
        <v>40</v>
      </c>
    </row>
    <row r="102" spans="1:4">
      <c r="A102" s="10" t="s">
        <v>489</v>
      </c>
      <c r="B102" s="10" t="s">
        <v>212</v>
      </c>
      <c r="C102" s="10">
        <v>40</v>
      </c>
      <c r="D102" s="10">
        <v>40</v>
      </c>
    </row>
    <row r="103" spans="1:4">
      <c r="A103" s="10" t="s">
        <v>408</v>
      </c>
      <c r="B103" s="10" t="s">
        <v>212</v>
      </c>
      <c r="C103" s="10">
        <v>40</v>
      </c>
      <c r="D103" s="10">
        <v>40</v>
      </c>
    </row>
    <row r="104" spans="1:4">
      <c r="A104" s="10" t="s">
        <v>244</v>
      </c>
      <c r="B104" s="10" t="s">
        <v>212</v>
      </c>
      <c r="C104" s="10">
        <v>40</v>
      </c>
      <c r="D104" s="10">
        <v>40</v>
      </c>
    </row>
    <row r="105" spans="1:4">
      <c r="A105" s="10" t="s">
        <v>306</v>
      </c>
      <c r="B105" s="10" t="s">
        <v>271</v>
      </c>
      <c r="C105" s="10">
        <v>40</v>
      </c>
      <c r="D105" s="10">
        <v>40</v>
      </c>
    </row>
    <row r="106" spans="1:4">
      <c r="A106" s="10" t="s">
        <v>285</v>
      </c>
      <c r="B106" s="10" t="s">
        <v>271</v>
      </c>
      <c r="C106" s="10">
        <v>40</v>
      </c>
      <c r="D106" s="10">
        <v>40</v>
      </c>
    </row>
    <row r="107" spans="1:4">
      <c r="A107" s="10" t="s">
        <v>459</v>
      </c>
      <c r="B107" s="10" t="s">
        <v>271</v>
      </c>
      <c r="C107" s="10">
        <v>40</v>
      </c>
      <c r="D107" s="10">
        <v>40</v>
      </c>
    </row>
    <row r="108" spans="1:4">
      <c r="A108" s="10" t="s">
        <v>270</v>
      </c>
      <c r="B108" s="10" t="s">
        <v>271</v>
      </c>
      <c r="C108" s="10">
        <v>40</v>
      </c>
      <c r="D108" s="10">
        <v>40</v>
      </c>
    </row>
    <row r="109" spans="1:4">
      <c r="A109" s="10" t="s">
        <v>296</v>
      </c>
      <c r="B109" s="10" t="s">
        <v>271</v>
      </c>
      <c r="C109" s="10">
        <v>40</v>
      </c>
      <c r="D109" s="10">
        <v>40</v>
      </c>
    </row>
    <row r="110" spans="1:4">
      <c r="A110" s="10" t="s">
        <v>567</v>
      </c>
      <c r="B110" s="10" t="s">
        <v>271</v>
      </c>
      <c r="C110" s="10">
        <v>40</v>
      </c>
      <c r="D110" s="10">
        <v>40</v>
      </c>
    </row>
    <row r="111" spans="1:4">
      <c r="A111" s="10" t="s">
        <v>462</v>
      </c>
      <c r="B111" s="10" t="s">
        <v>271</v>
      </c>
      <c r="C111" s="10">
        <v>40</v>
      </c>
      <c r="D111" s="10">
        <v>40</v>
      </c>
    </row>
    <row r="112" spans="1:4">
      <c r="A112" s="10" t="s">
        <v>557</v>
      </c>
      <c r="B112" s="10" t="s">
        <v>271</v>
      </c>
      <c r="C112" s="10">
        <v>40</v>
      </c>
      <c r="D112" s="10">
        <v>40</v>
      </c>
    </row>
    <row r="113" spans="1:4">
      <c r="A113" s="10" t="s">
        <v>570</v>
      </c>
      <c r="B113" s="10" t="s">
        <v>26</v>
      </c>
      <c r="C113" s="10">
        <v>40</v>
      </c>
      <c r="D113" s="10">
        <v>40</v>
      </c>
    </row>
    <row r="114" spans="1:4">
      <c r="A114" s="10" t="s">
        <v>576</v>
      </c>
      <c r="B114" s="10" t="s">
        <v>26</v>
      </c>
      <c r="C114" s="10">
        <v>40</v>
      </c>
      <c r="D114" s="10">
        <v>40</v>
      </c>
    </row>
    <row r="115" spans="1:4">
      <c r="A115" s="10" t="s">
        <v>92</v>
      </c>
      <c r="B115" s="10" t="s">
        <v>26</v>
      </c>
      <c r="C115" s="10">
        <v>40</v>
      </c>
      <c r="D115" s="10">
        <v>40</v>
      </c>
    </row>
    <row r="116" spans="1:4">
      <c r="A116" s="10" t="s">
        <v>421</v>
      </c>
      <c r="B116" s="10" t="s">
        <v>26</v>
      </c>
      <c r="C116" s="10">
        <v>40</v>
      </c>
      <c r="D116" s="10">
        <v>40</v>
      </c>
    </row>
    <row r="117" spans="1:4">
      <c r="A117" s="10" t="s">
        <v>457</v>
      </c>
      <c r="B117" s="10" t="s">
        <v>26</v>
      </c>
      <c r="C117" s="10">
        <v>40</v>
      </c>
      <c r="D117" s="10">
        <v>40</v>
      </c>
    </row>
    <row r="118" spans="1:4">
      <c r="A118" s="10" t="s">
        <v>16</v>
      </c>
      <c r="B118" s="10" t="s">
        <v>26</v>
      </c>
      <c r="C118" s="10">
        <v>40</v>
      </c>
      <c r="D118" s="10">
        <v>40</v>
      </c>
    </row>
    <row r="119" spans="1:4">
      <c r="A119" s="10" t="s">
        <v>134</v>
      </c>
      <c r="B119" s="10" t="s">
        <v>116</v>
      </c>
      <c r="C119" s="10">
        <v>40</v>
      </c>
      <c r="D119" s="10">
        <v>40</v>
      </c>
    </row>
    <row r="120" spans="1:4">
      <c r="A120" s="10" t="s">
        <v>136</v>
      </c>
      <c r="B120" s="10" t="s">
        <v>116</v>
      </c>
      <c r="C120" s="10">
        <v>40</v>
      </c>
      <c r="D120" s="10">
        <v>40</v>
      </c>
    </row>
    <row r="121" spans="1:4">
      <c r="A121" s="10" t="s">
        <v>140</v>
      </c>
      <c r="B121" s="10" t="s">
        <v>116</v>
      </c>
      <c r="C121" s="10">
        <v>40</v>
      </c>
      <c r="D121" s="10">
        <v>40</v>
      </c>
    </row>
    <row r="122" spans="1:4">
      <c r="A122" s="10" t="s">
        <v>130</v>
      </c>
      <c r="B122" s="10" t="s">
        <v>116</v>
      </c>
      <c r="C122" s="10">
        <v>40</v>
      </c>
      <c r="D122" s="10">
        <v>40</v>
      </c>
    </row>
    <row r="123" spans="1:4">
      <c r="A123" s="10" t="s">
        <v>483</v>
      </c>
      <c r="B123" s="10" t="s">
        <v>212</v>
      </c>
      <c r="C123" s="10">
        <v>36</v>
      </c>
      <c r="D123" s="10">
        <v>36</v>
      </c>
    </row>
    <row r="124" spans="1:4">
      <c r="A124" s="10" t="s">
        <v>519</v>
      </c>
      <c r="B124" s="10" t="s">
        <v>212</v>
      </c>
      <c r="C124" s="10">
        <v>35</v>
      </c>
      <c r="D124" s="10">
        <v>35</v>
      </c>
    </row>
    <row r="125" spans="1:4">
      <c r="A125" s="10" t="s">
        <v>522</v>
      </c>
      <c r="B125" s="10" t="s">
        <v>26</v>
      </c>
      <c r="C125" s="10">
        <v>35</v>
      </c>
      <c r="D125" s="10">
        <v>35</v>
      </c>
    </row>
    <row r="126" spans="1:4">
      <c r="A126" s="10" t="s">
        <v>521</v>
      </c>
      <c r="B126" s="10" t="s">
        <v>212</v>
      </c>
      <c r="C126" s="10">
        <v>35</v>
      </c>
      <c r="D126" s="10">
        <v>35</v>
      </c>
    </row>
    <row r="127" spans="1:4">
      <c r="A127" s="10" t="s">
        <v>539</v>
      </c>
      <c r="B127" s="10" t="s">
        <v>212</v>
      </c>
      <c r="C127" s="10">
        <v>25</v>
      </c>
      <c r="D127" s="10">
        <v>25</v>
      </c>
    </row>
    <row r="128" spans="1:4">
      <c r="A128" s="10" t="s">
        <v>542</v>
      </c>
      <c r="B128" s="10" t="s">
        <v>212</v>
      </c>
      <c r="C128" s="10">
        <v>25</v>
      </c>
      <c r="D128" s="10">
        <v>25</v>
      </c>
    </row>
    <row r="129" spans="1:4">
      <c r="A129" s="10" t="s">
        <v>246</v>
      </c>
      <c r="B129" s="10" t="s">
        <v>212</v>
      </c>
      <c r="C129" s="10">
        <v>25</v>
      </c>
      <c r="D129" s="10">
        <v>25</v>
      </c>
    </row>
    <row r="130" spans="1:4">
      <c r="A130" s="10" t="s">
        <v>233</v>
      </c>
      <c r="B130" s="10" t="s">
        <v>212</v>
      </c>
      <c r="C130" s="10">
        <v>25</v>
      </c>
      <c r="D130" s="10">
        <v>25</v>
      </c>
    </row>
    <row r="131" spans="1:4">
      <c r="A131" s="10" t="s">
        <v>528</v>
      </c>
      <c r="B131" s="10" t="s">
        <v>212</v>
      </c>
      <c r="C131" s="10">
        <v>25</v>
      </c>
      <c r="D131" s="10">
        <v>25</v>
      </c>
    </row>
    <row r="132" spans="1:4">
      <c r="A132" s="10" t="s">
        <v>364</v>
      </c>
      <c r="B132" s="10" t="s">
        <v>271</v>
      </c>
      <c r="C132" s="10">
        <v>25</v>
      </c>
      <c r="D132" s="10">
        <v>25</v>
      </c>
    </row>
    <row r="133" spans="1:4">
      <c r="A133" s="10" t="s">
        <v>378</v>
      </c>
      <c r="B133" s="10" t="s">
        <v>271</v>
      </c>
      <c r="C133" s="10">
        <v>25</v>
      </c>
      <c r="D133" s="10">
        <v>25</v>
      </c>
    </row>
    <row r="134" spans="1:4">
      <c r="A134" s="10" t="s">
        <v>297</v>
      </c>
      <c r="B134" s="10" t="s">
        <v>271</v>
      </c>
      <c r="C134" s="10">
        <v>25</v>
      </c>
      <c r="D134" s="10">
        <v>25</v>
      </c>
    </row>
    <row r="135" spans="1:4">
      <c r="A135" s="10" t="s">
        <v>468</v>
      </c>
      <c r="B135" s="10" t="s">
        <v>26</v>
      </c>
      <c r="C135" s="10">
        <v>25</v>
      </c>
      <c r="D135" s="10">
        <v>25</v>
      </c>
    </row>
    <row r="136" spans="1:4">
      <c r="A136" s="10" t="s">
        <v>294</v>
      </c>
      <c r="B136" s="10" t="s">
        <v>26</v>
      </c>
      <c r="C136" s="10">
        <v>25</v>
      </c>
      <c r="D136" s="10">
        <v>25</v>
      </c>
    </row>
    <row r="137" spans="1:4">
      <c r="A137" s="10" t="s">
        <v>131</v>
      </c>
      <c r="B137" s="10" t="s">
        <v>116</v>
      </c>
      <c r="C137" s="10">
        <v>25</v>
      </c>
      <c r="D137" s="10">
        <v>25</v>
      </c>
    </row>
    <row r="138" spans="1:4">
      <c r="A138" s="10" t="s">
        <v>192</v>
      </c>
      <c r="B138" s="10" t="s">
        <v>116</v>
      </c>
      <c r="C138" s="10">
        <v>25</v>
      </c>
      <c r="D138" s="10">
        <v>25</v>
      </c>
    </row>
    <row r="139" spans="1:4">
      <c r="A139" s="10" t="s">
        <v>594</v>
      </c>
      <c r="B139" s="10" t="s">
        <v>116</v>
      </c>
      <c r="C139" s="10">
        <v>20</v>
      </c>
      <c r="D139" s="10">
        <v>20</v>
      </c>
    </row>
    <row r="140" spans="1:4">
      <c r="A140" s="10" t="s">
        <v>191</v>
      </c>
      <c r="B140" s="10" t="s">
        <v>116</v>
      </c>
      <c r="C140" s="10">
        <v>20</v>
      </c>
      <c r="D140" s="10">
        <v>20</v>
      </c>
    </row>
    <row r="141" spans="1:4">
      <c r="A141" s="10" t="s">
        <v>37</v>
      </c>
      <c r="B141" s="10" t="s">
        <v>26</v>
      </c>
      <c r="C141" s="10">
        <v>2</v>
      </c>
      <c r="D141" s="10">
        <v>2</v>
      </c>
    </row>
    <row r="142" spans="1:4">
      <c r="A142" s="10" t="s">
        <v>439</v>
      </c>
      <c r="B142" s="10" t="s">
        <v>26</v>
      </c>
      <c r="C142" s="10">
        <v>1</v>
      </c>
      <c r="D142" s="10">
        <v>1</v>
      </c>
    </row>
    <row r="143" spans="1:4">
      <c r="A143" s="10" t="s">
        <v>524</v>
      </c>
      <c r="B143" s="10" t="s">
        <v>212</v>
      </c>
      <c r="C143" s="10">
        <v>1</v>
      </c>
      <c r="D143" s="10">
        <v>1</v>
      </c>
    </row>
    <row r="144" spans="1:4">
      <c r="A144" s="10" t="s">
        <v>460</v>
      </c>
      <c r="B144" s="10" t="s">
        <v>26</v>
      </c>
      <c r="C144" s="10">
        <v>1</v>
      </c>
      <c r="D144" s="10">
        <v>1</v>
      </c>
    </row>
    <row r="145" spans="1:4">
      <c r="A145" s="10" t="s">
        <v>250</v>
      </c>
      <c r="B145" s="10" t="s">
        <v>212</v>
      </c>
      <c r="C145" s="10">
        <v>1</v>
      </c>
      <c r="D145" s="10">
        <v>1</v>
      </c>
    </row>
    <row r="146" spans="1:4">
      <c r="A146" s="10" t="s">
        <v>548</v>
      </c>
      <c r="B146" s="10" t="s">
        <v>212</v>
      </c>
      <c r="C146" s="10">
        <v>0</v>
      </c>
      <c r="D146" s="10">
        <v>0</v>
      </c>
    </row>
    <row r="147" spans="1:4">
      <c r="A147" s="10" t="s">
        <v>226</v>
      </c>
      <c r="B147" s="10" t="s">
        <v>212</v>
      </c>
      <c r="C147" s="10">
        <v>0</v>
      </c>
      <c r="D147" s="10">
        <v>0</v>
      </c>
    </row>
    <row r="148" spans="1:4">
      <c r="A148" s="10" t="s">
        <v>538</v>
      </c>
      <c r="B148" s="10" t="s">
        <v>212</v>
      </c>
      <c r="C148" s="10">
        <v>0</v>
      </c>
      <c r="D148" s="10">
        <v>0</v>
      </c>
    </row>
    <row r="149" spans="1:4">
      <c r="A149" s="10" t="s">
        <v>257</v>
      </c>
      <c r="B149" s="10" t="s">
        <v>212</v>
      </c>
      <c r="C149" s="10">
        <v>0</v>
      </c>
      <c r="D149" s="10">
        <v>0</v>
      </c>
    </row>
    <row r="150" spans="1:4">
      <c r="A150" s="10" t="s">
        <v>413</v>
      </c>
      <c r="B150" s="10" t="s">
        <v>212</v>
      </c>
      <c r="C150" s="10">
        <v>0</v>
      </c>
      <c r="D150" s="10">
        <v>0</v>
      </c>
    </row>
    <row r="151" spans="1:4">
      <c r="A151" s="10" t="s">
        <v>237</v>
      </c>
      <c r="B151" s="10" t="s">
        <v>212</v>
      </c>
      <c r="C151" s="10">
        <v>0</v>
      </c>
      <c r="D151" s="10">
        <v>0</v>
      </c>
    </row>
    <row r="152" spans="1:4">
      <c r="A152" s="10" t="s">
        <v>256</v>
      </c>
      <c r="B152" s="10" t="s">
        <v>212</v>
      </c>
      <c r="C152" s="10">
        <v>0</v>
      </c>
      <c r="D152" s="10">
        <v>0</v>
      </c>
    </row>
    <row r="153" spans="1:4">
      <c r="A153" s="10" t="s">
        <v>348</v>
      </c>
      <c r="B153" s="10" t="s">
        <v>212</v>
      </c>
      <c r="C153" s="10">
        <v>0</v>
      </c>
      <c r="D153" s="10">
        <v>0</v>
      </c>
    </row>
    <row r="154" spans="1:4">
      <c r="A154" s="10" t="s">
        <v>540</v>
      </c>
      <c r="B154" s="10" t="s">
        <v>212</v>
      </c>
      <c r="C154" s="10">
        <v>0</v>
      </c>
      <c r="D154" s="10">
        <v>0</v>
      </c>
    </row>
    <row r="155" spans="1:4">
      <c r="A155" s="10" t="s">
        <v>238</v>
      </c>
      <c r="B155" s="10" t="s">
        <v>212</v>
      </c>
      <c r="C155" s="10">
        <v>0</v>
      </c>
      <c r="D155" s="10">
        <v>0</v>
      </c>
    </row>
    <row r="156" spans="1:4">
      <c r="A156" s="10" t="s">
        <v>239</v>
      </c>
      <c r="B156" s="10" t="s">
        <v>212</v>
      </c>
      <c r="C156" s="10">
        <v>0</v>
      </c>
      <c r="D156" s="10">
        <v>0</v>
      </c>
    </row>
    <row r="157" spans="1:4">
      <c r="A157" s="10" t="s">
        <v>217</v>
      </c>
      <c r="B157" s="10" t="s">
        <v>212</v>
      </c>
      <c r="C157" s="10">
        <v>0</v>
      </c>
      <c r="D157" s="10">
        <v>0</v>
      </c>
    </row>
    <row r="158" spans="1:4">
      <c r="A158" s="10" t="s">
        <v>255</v>
      </c>
      <c r="B158" s="10" t="s">
        <v>212</v>
      </c>
      <c r="C158" s="10">
        <v>0</v>
      </c>
      <c r="D158" s="10">
        <v>0</v>
      </c>
    </row>
    <row r="159" spans="1:4">
      <c r="A159" s="10" t="s">
        <v>240</v>
      </c>
      <c r="B159" s="10" t="s">
        <v>212</v>
      </c>
      <c r="C159" s="10">
        <v>0</v>
      </c>
      <c r="D159" s="10">
        <v>0</v>
      </c>
    </row>
    <row r="160" spans="1:4">
      <c r="A160" s="10" t="s">
        <v>547</v>
      </c>
      <c r="B160" s="10" t="s">
        <v>212</v>
      </c>
      <c r="C160" s="10">
        <v>0</v>
      </c>
      <c r="D160" s="10">
        <v>0</v>
      </c>
    </row>
    <row r="161" spans="1:4">
      <c r="A161" s="10" t="s">
        <v>392</v>
      </c>
      <c r="B161" s="10" t="s">
        <v>212</v>
      </c>
      <c r="C161" s="10">
        <v>0</v>
      </c>
      <c r="D161" s="10">
        <v>0</v>
      </c>
    </row>
    <row r="162" spans="1:4">
      <c r="A162" s="10" t="s">
        <v>241</v>
      </c>
      <c r="B162" s="10" t="s">
        <v>212</v>
      </c>
      <c r="C162" s="10">
        <v>0</v>
      </c>
      <c r="D162" s="10">
        <v>0</v>
      </c>
    </row>
    <row r="163" spans="1:4">
      <c r="A163" s="10" t="s">
        <v>254</v>
      </c>
      <c r="B163" s="10" t="s">
        <v>212</v>
      </c>
      <c r="C163" s="10">
        <v>0</v>
      </c>
      <c r="D163" s="10">
        <v>0</v>
      </c>
    </row>
    <row r="164" spans="1:4">
      <c r="A164" s="10" t="s">
        <v>545</v>
      </c>
      <c r="B164" s="10" t="s">
        <v>212</v>
      </c>
      <c r="C164" s="10">
        <v>0</v>
      </c>
      <c r="D164" s="10">
        <v>0</v>
      </c>
    </row>
    <row r="165" spans="1:4">
      <c r="A165" s="10" t="s">
        <v>242</v>
      </c>
      <c r="B165" s="10" t="s">
        <v>212</v>
      </c>
      <c r="C165" s="10">
        <v>0</v>
      </c>
      <c r="D165" s="10">
        <v>0</v>
      </c>
    </row>
    <row r="166" spans="1:4">
      <c r="A166" s="10" t="s">
        <v>252</v>
      </c>
      <c r="B166" s="10" t="s">
        <v>212</v>
      </c>
      <c r="C166" s="10">
        <v>0</v>
      </c>
      <c r="D166" s="10">
        <v>0</v>
      </c>
    </row>
    <row r="167" spans="1:4">
      <c r="A167" s="10" t="s">
        <v>544</v>
      </c>
      <c r="B167" s="10" t="s">
        <v>212</v>
      </c>
      <c r="C167" s="10">
        <v>0</v>
      </c>
      <c r="D167" s="10">
        <v>0</v>
      </c>
    </row>
    <row r="168" spans="1:4">
      <c r="A168" s="10" t="s">
        <v>543</v>
      </c>
      <c r="B168" s="10" t="s">
        <v>212</v>
      </c>
      <c r="C168" s="10">
        <v>0</v>
      </c>
      <c r="D168" s="10">
        <v>0</v>
      </c>
    </row>
    <row r="169" spans="1:4">
      <c r="A169" s="10" t="s">
        <v>404</v>
      </c>
      <c r="B169" s="10" t="s">
        <v>212</v>
      </c>
      <c r="C169" s="10">
        <v>0</v>
      </c>
      <c r="D169" s="10">
        <v>0</v>
      </c>
    </row>
    <row r="170" spans="1:4">
      <c r="A170" s="10" t="s">
        <v>475</v>
      </c>
      <c r="B170" s="10" t="s">
        <v>212</v>
      </c>
      <c r="C170" s="10">
        <v>0</v>
      </c>
      <c r="D170" s="10">
        <v>0</v>
      </c>
    </row>
    <row r="171" spans="1:4">
      <c r="A171" s="10" t="s">
        <v>560</v>
      </c>
      <c r="B171" s="10" t="s">
        <v>212</v>
      </c>
      <c r="C171" s="10">
        <v>0</v>
      </c>
      <c r="D171" s="10">
        <v>0</v>
      </c>
    </row>
    <row r="172" spans="1:4">
      <c r="A172" s="10" t="s">
        <v>243</v>
      </c>
      <c r="B172" s="10" t="s">
        <v>212</v>
      </c>
      <c r="C172" s="10">
        <v>0</v>
      </c>
      <c r="D172" s="10">
        <v>0</v>
      </c>
    </row>
    <row r="173" spans="1:4">
      <c r="A173" s="10" t="s">
        <v>419</v>
      </c>
      <c r="B173" s="10" t="s">
        <v>212</v>
      </c>
      <c r="C173" s="10">
        <v>0</v>
      </c>
      <c r="D173" s="10">
        <v>0</v>
      </c>
    </row>
    <row r="174" spans="1:4">
      <c r="A174" s="10" t="s">
        <v>245</v>
      </c>
      <c r="B174" s="10" t="s">
        <v>212</v>
      </c>
      <c r="C174" s="10">
        <v>0</v>
      </c>
      <c r="D174" s="10">
        <v>0</v>
      </c>
    </row>
    <row r="175" spans="1:4">
      <c r="A175" s="10" t="s">
        <v>247</v>
      </c>
      <c r="B175" s="10" t="s">
        <v>212</v>
      </c>
      <c r="C175" s="10">
        <v>0</v>
      </c>
      <c r="D175" s="10">
        <v>0</v>
      </c>
    </row>
    <row r="176" spans="1:4">
      <c r="A176" s="10" t="s">
        <v>393</v>
      </c>
      <c r="B176" s="10" t="s">
        <v>212</v>
      </c>
      <c r="C176" s="10">
        <v>0</v>
      </c>
      <c r="D176" s="10">
        <v>0</v>
      </c>
    </row>
    <row r="177" spans="1:4">
      <c r="A177" s="10" t="s">
        <v>541</v>
      </c>
      <c r="B177" s="10" t="s">
        <v>212</v>
      </c>
      <c r="C177" s="10">
        <v>0</v>
      </c>
      <c r="D177" s="10">
        <v>0</v>
      </c>
    </row>
    <row r="178" spans="1:4">
      <c r="A178" s="10" t="s">
        <v>504</v>
      </c>
      <c r="B178" s="10" t="s">
        <v>212</v>
      </c>
      <c r="C178" s="10">
        <v>0</v>
      </c>
      <c r="D178" s="10">
        <v>0</v>
      </c>
    </row>
    <row r="179" spans="1:4">
      <c r="A179" s="10" t="s">
        <v>231</v>
      </c>
      <c r="B179" s="10" t="s">
        <v>212</v>
      </c>
      <c r="C179" s="10">
        <v>0</v>
      </c>
      <c r="D179" s="10">
        <v>0</v>
      </c>
    </row>
    <row r="180" spans="1:4">
      <c r="A180" s="10" t="s">
        <v>347</v>
      </c>
      <c r="B180" s="10" t="s">
        <v>212</v>
      </c>
      <c r="C180" s="10">
        <v>0</v>
      </c>
      <c r="D180" s="10">
        <v>0</v>
      </c>
    </row>
    <row r="181" spans="1:4">
      <c r="A181" s="10" t="s">
        <v>224</v>
      </c>
      <c r="B181" s="10" t="s">
        <v>212</v>
      </c>
      <c r="C181" s="10">
        <v>0</v>
      </c>
      <c r="D181" s="10">
        <v>0</v>
      </c>
    </row>
    <row r="182" spans="1:4">
      <c r="A182" s="10" t="s">
        <v>530</v>
      </c>
      <c r="B182" s="10" t="s">
        <v>212</v>
      </c>
      <c r="C182" s="10">
        <v>0</v>
      </c>
      <c r="D182" s="10">
        <v>0</v>
      </c>
    </row>
    <row r="183" spans="1:4">
      <c r="A183" s="10" t="s">
        <v>232</v>
      </c>
      <c r="B183" s="10" t="s">
        <v>212</v>
      </c>
      <c r="C183" s="10">
        <v>0</v>
      </c>
      <c r="D183" s="10">
        <v>0</v>
      </c>
    </row>
    <row r="184" spans="1:4">
      <c r="A184" s="10" t="s">
        <v>529</v>
      </c>
      <c r="B184" s="10" t="s">
        <v>212</v>
      </c>
      <c r="C184" s="10">
        <v>0</v>
      </c>
      <c r="D184" s="10">
        <v>0</v>
      </c>
    </row>
    <row r="185" spans="1:4">
      <c r="A185" s="10" t="s">
        <v>531</v>
      </c>
      <c r="B185" s="10" t="s">
        <v>212</v>
      </c>
      <c r="C185" s="10">
        <v>0</v>
      </c>
      <c r="D185" s="10">
        <v>0</v>
      </c>
    </row>
    <row r="186" spans="1:4">
      <c r="A186" s="10" t="s">
        <v>416</v>
      </c>
      <c r="B186" s="10" t="s">
        <v>212</v>
      </c>
      <c r="C186" s="10">
        <v>0</v>
      </c>
      <c r="D186" s="10">
        <v>0</v>
      </c>
    </row>
    <row r="187" spans="1:4">
      <c r="A187" s="10" t="s">
        <v>527</v>
      </c>
      <c r="B187" s="10" t="s">
        <v>212</v>
      </c>
      <c r="C187" s="10">
        <v>0</v>
      </c>
      <c r="D187" s="10">
        <v>0</v>
      </c>
    </row>
    <row r="188" spans="1:4">
      <c r="A188" s="10" t="s">
        <v>526</v>
      </c>
      <c r="B188" s="10" t="s">
        <v>212</v>
      </c>
      <c r="C188" s="10">
        <v>0</v>
      </c>
      <c r="D188" s="10">
        <v>0</v>
      </c>
    </row>
    <row r="189" spans="1:4">
      <c r="A189" s="10" t="s">
        <v>525</v>
      </c>
      <c r="B189" s="10" t="s">
        <v>212</v>
      </c>
      <c r="C189" s="10">
        <v>0</v>
      </c>
      <c r="D189" s="10">
        <v>0</v>
      </c>
    </row>
    <row r="190" spans="1:4">
      <c r="A190" s="10" t="s">
        <v>52</v>
      </c>
      <c r="B190" s="10" t="s">
        <v>212</v>
      </c>
      <c r="C190" s="10">
        <v>0</v>
      </c>
      <c r="D190" s="10">
        <v>0</v>
      </c>
    </row>
    <row r="191" spans="1:4">
      <c r="A191" s="10" t="s">
        <v>412</v>
      </c>
      <c r="B191" s="10" t="s">
        <v>212</v>
      </c>
      <c r="C191" s="10">
        <v>0</v>
      </c>
      <c r="D191" s="10">
        <v>0</v>
      </c>
    </row>
    <row r="192" spans="1:4">
      <c r="A192" s="10" t="s">
        <v>264</v>
      </c>
      <c r="B192" s="10" t="s">
        <v>212</v>
      </c>
      <c r="C192" s="10">
        <v>0</v>
      </c>
      <c r="D192" s="10">
        <v>0</v>
      </c>
    </row>
    <row r="193" spans="1:4">
      <c r="A193" s="10" t="s">
        <v>418</v>
      </c>
      <c r="B193" s="10" t="s">
        <v>212</v>
      </c>
      <c r="C193" s="10">
        <v>0</v>
      </c>
      <c r="D193" s="10">
        <v>0</v>
      </c>
    </row>
    <row r="194" spans="1:4">
      <c r="A194" s="10" t="s">
        <v>263</v>
      </c>
      <c r="B194" s="10" t="s">
        <v>212</v>
      </c>
      <c r="C194" s="10">
        <v>0</v>
      </c>
      <c r="D194" s="10">
        <v>0</v>
      </c>
    </row>
    <row r="195" spans="1:4">
      <c r="A195" s="10" t="s">
        <v>553</v>
      </c>
      <c r="B195" s="10" t="s">
        <v>212</v>
      </c>
      <c r="C195" s="10">
        <v>0</v>
      </c>
      <c r="D195" s="10">
        <v>0</v>
      </c>
    </row>
    <row r="196" spans="1:4">
      <c r="A196" s="10" t="s">
        <v>235</v>
      </c>
      <c r="B196" s="10" t="s">
        <v>212</v>
      </c>
      <c r="C196" s="10">
        <v>0</v>
      </c>
      <c r="D196" s="10">
        <v>0</v>
      </c>
    </row>
    <row r="197" spans="1:4">
      <c r="A197" s="10" t="s">
        <v>499</v>
      </c>
      <c r="B197" s="10" t="s">
        <v>212</v>
      </c>
      <c r="C197" s="10">
        <v>0</v>
      </c>
      <c r="D197" s="10">
        <v>0</v>
      </c>
    </row>
    <row r="198" spans="1:4">
      <c r="A198" s="10" t="s">
        <v>262</v>
      </c>
      <c r="B198" s="10" t="s">
        <v>212</v>
      </c>
      <c r="C198" s="10">
        <v>0</v>
      </c>
      <c r="D198" s="10">
        <v>0</v>
      </c>
    </row>
    <row r="199" spans="1:4">
      <c r="A199" s="10" t="s">
        <v>533</v>
      </c>
      <c r="B199" s="10" t="s">
        <v>212</v>
      </c>
      <c r="C199" s="10">
        <v>0</v>
      </c>
      <c r="D199" s="10">
        <v>0</v>
      </c>
    </row>
    <row r="200" spans="1:4">
      <c r="A200" s="10" t="s">
        <v>534</v>
      </c>
      <c r="B200" s="10" t="s">
        <v>212</v>
      </c>
      <c r="C200" s="10">
        <v>0</v>
      </c>
      <c r="D200" s="10">
        <v>0</v>
      </c>
    </row>
    <row r="201" spans="1:4">
      <c r="A201" s="10" t="s">
        <v>261</v>
      </c>
      <c r="B201" s="10" t="s">
        <v>212</v>
      </c>
      <c r="C201" s="10">
        <v>0</v>
      </c>
      <c r="D201" s="10">
        <v>0</v>
      </c>
    </row>
    <row r="202" spans="1:4">
      <c r="A202" s="10" t="s">
        <v>451</v>
      </c>
      <c r="B202" s="10" t="s">
        <v>212</v>
      </c>
      <c r="C202" s="10">
        <v>0</v>
      </c>
      <c r="D202" s="10">
        <v>0</v>
      </c>
    </row>
    <row r="203" spans="1:4">
      <c r="A203" s="10" t="s">
        <v>260</v>
      </c>
      <c r="B203" s="10" t="s">
        <v>212</v>
      </c>
      <c r="C203" s="10">
        <v>0</v>
      </c>
      <c r="D203" s="10">
        <v>0</v>
      </c>
    </row>
    <row r="204" spans="1:4">
      <c r="A204" s="10" t="s">
        <v>552</v>
      </c>
      <c r="B204" s="10" t="s">
        <v>212</v>
      </c>
      <c r="C204" s="10">
        <v>0</v>
      </c>
      <c r="D204" s="10">
        <v>0</v>
      </c>
    </row>
    <row r="205" spans="1:4">
      <c r="A205" s="10" t="s">
        <v>535</v>
      </c>
      <c r="B205" s="10" t="s">
        <v>212</v>
      </c>
      <c r="C205" s="10">
        <v>0</v>
      </c>
      <c r="D205" s="10">
        <v>0</v>
      </c>
    </row>
    <row r="206" spans="1:4">
      <c r="A206" s="10" t="s">
        <v>551</v>
      </c>
      <c r="B206" s="10" t="s">
        <v>212</v>
      </c>
      <c r="C206" s="10">
        <v>0</v>
      </c>
      <c r="D206" s="10">
        <v>0</v>
      </c>
    </row>
    <row r="207" spans="1:4">
      <c r="A207" s="10" t="s">
        <v>259</v>
      </c>
      <c r="B207" s="10" t="s">
        <v>212</v>
      </c>
      <c r="C207" s="10">
        <v>0</v>
      </c>
      <c r="D207" s="10">
        <v>0</v>
      </c>
    </row>
    <row r="208" spans="1:4">
      <c r="A208" s="10" t="s">
        <v>406</v>
      </c>
      <c r="B208" s="10" t="s">
        <v>212</v>
      </c>
      <c r="C208" s="10">
        <v>0</v>
      </c>
      <c r="D208" s="10">
        <v>0</v>
      </c>
    </row>
    <row r="209" spans="1:4">
      <c r="A209" s="10" t="s">
        <v>414</v>
      </c>
      <c r="B209" s="10" t="s">
        <v>212</v>
      </c>
      <c r="C209" s="10">
        <v>0</v>
      </c>
      <c r="D209" s="10">
        <v>0</v>
      </c>
    </row>
    <row r="210" spans="1:4">
      <c r="A210" s="10" t="s">
        <v>549</v>
      </c>
      <c r="B210" s="10" t="s">
        <v>212</v>
      </c>
      <c r="C210" s="10">
        <v>0</v>
      </c>
      <c r="D210" s="10">
        <v>0</v>
      </c>
    </row>
    <row r="211" spans="1:4">
      <c r="A211" s="10" t="s">
        <v>429</v>
      </c>
      <c r="B211" s="10" t="s">
        <v>212</v>
      </c>
      <c r="C211" s="10">
        <v>0</v>
      </c>
      <c r="D211" s="10">
        <v>0</v>
      </c>
    </row>
    <row r="212" spans="1:4">
      <c r="A212" s="10" t="s">
        <v>443</v>
      </c>
      <c r="B212" s="10" t="s">
        <v>212</v>
      </c>
      <c r="C212" s="10">
        <v>0</v>
      </c>
      <c r="D212" s="10">
        <v>0</v>
      </c>
    </row>
    <row r="213" spans="1:4">
      <c r="A213" s="10" t="s">
        <v>452</v>
      </c>
      <c r="B213" s="10" t="s">
        <v>212</v>
      </c>
      <c r="C213" s="10">
        <v>0</v>
      </c>
      <c r="D213" s="10">
        <v>0</v>
      </c>
    </row>
    <row r="214" spans="1:4">
      <c r="A214" s="10" t="s">
        <v>537</v>
      </c>
      <c r="B214" s="10" t="s">
        <v>212</v>
      </c>
      <c r="C214" s="10">
        <v>0</v>
      </c>
      <c r="D214" s="10">
        <v>0</v>
      </c>
    </row>
    <row r="215" spans="1:4">
      <c r="A215" s="10" t="s">
        <v>536</v>
      </c>
      <c r="B215" s="10" t="s">
        <v>271</v>
      </c>
      <c r="C215" s="10">
        <v>0</v>
      </c>
      <c r="D215" s="10">
        <v>0</v>
      </c>
    </row>
    <row r="216" spans="1:4">
      <c r="A216" s="10" t="s">
        <v>385</v>
      </c>
      <c r="B216" s="10" t="s">
        <v>271</v>
      </c>
      <c r="C216" s="10">
        <v>0</v>
      </c>
      <c r="D216" s="10">
        <v>0</v>
      </c>
    </row>
    <row r="217" spans="1:4">
      <c r="A217" s="10" t="s">
        <v>359</v>
      </c>
      <c r="B217" s="10" t="s">
        <v>271</v>
      </c>
      <c r="C217" s="10">
        <v>0</v>
      </c>
      <c r="D217" s="10">
        <v>0</v>
      </c>
    </row>
    <row r="218" spans="1:4">
      <c r="A218" s="10" t="s">
        <v>386</v>
      </c>
      <c r="B218" s="10" t="s">
        <v>271</v>
      </c>
      <c r="C218" s="10">
        <v>0</v>
      </c>
      <c r="D218" s="10">
        <v>0</v>
      </c>
    </row>
    <row r="219" spans="1:4">
      <c r="A219" s="10" t="s">
        <v>387</v>
      </c>
      <c r="B219" s="10" t="s">
        <v>271</v>
      </c>
      <c r="C219" s="10">
        <v>0</v>
      </c>
      <c r="D219" s="10">
        <v>0</v>
      </c>
    </row>
    <row r="220" spans="1:4">
      <c r="A220" s="10" t="s">
        <v>388</v>
      </c>
      <c r="B220" s="10" t="s">
        <v>271</v>
      </c>
      <c r="C220" s="10">
        <v>0</v>
      </c>
      <c r="D220" s="10">
        <v>0</v>
      </c>
    </row>
    <row r="221" spans="1:4">
      <c r="A221" s="10" t="s">
        <v>360</v>
      </c>
      <c r="B221" s="10" t="s">
        <v>271</v>
      </c>
      <c r="C221" s="10">
        <v>0</v>
      </c>
      <c r="D221" s="10">
        <v>0</v>
      </c>
    </row>
    <row r="222" spans="1:4">
      <c r="A222" s="10" t="s">
        <v>496</v>
      </c>
      <c r="B222" s="10" t="s">
        <v>271</v>
      </c>
      <c r="C222" s="10">
        <v>0</v>
      </c>
      <c r="D222" s="10">
        <v>0</v>
      </c>
    </row>
    <row r="223" spans="1:4">
      <c r="A223" s="10" t="s">
        <v>641</v>
      </c>
      <c r="B223" s="10" t="s">
        <v>271</v>
      </c>
      <c r="C223" s="10">
        <v>0</v>
      </c>
      <c r="D223" s="10">
        <v>0</v>
      </c>
    </row>
    <row r="224" spans="1:4">
      <c r="A224" s="10" t="s">
        <v>561</v>
      </c>
      <c r="B224" s="10" t="s">
        <v>271</v>
      </c>
      <c r="C224" s="10">
        <v>0</v>
      </c>
      <c r="D224" s="10">
        <v>0</v>
      </c>
    </row>
    <row r="225" spans="1:4">
      <c r="A225" s="10" t="s">
        <v>345</v>
      </c>
      <c r="B225" s="10" t="s">
        <v>271</v>
      </c>
      <c r="C225" s="10">
        <v>0</v>
      </c>
      <c r="D225" s="10">
        <v>0</v>
      </c>
    </row>
    <row r="226" spans="1:4">
      <c r="A226" s="10" t="s">
        <v>344</v>
      </c>
      <c r="B226" s="10" t="s">
        <v>271</v>
      </c>
      <c r="C226" s="10">
        <v>0</v>
      </c>
      <c r="D226" s="10">
        <v>0</v>
      </c>
    </row>
    <row r="227" spans="1:4">
      <c r="A227" s="10" t="s">
        <v>343</v>
      </c>
      <c r="B227" s="10" t="s">
        <v>271</v>
      </c>
      <c r="C227" s="10">
        <v>0</v>
      </c>
      <c r="D227" s="10">
        <v>0</v>
      </c>
    </row>
    <row r="228" spans="1:4">
      <c r="A228" s="10" t="s">
        <v>394</v>
      </c>
      <c r="B228" s="10" t="s">
        <v>271</v>
      </c>
      <c r="C228" s="10">
        <v>0</v>
      </c>
      <c r="D228" s="10">
        <v>0</v>
      </c>
    </row>
    <row r="229" spans="1:4">
      <c r="A229" s="10" t="s">
        <v>340</v>
      </c>
      <c r="B229" s="10" t="s">
        <v>271</v>
      </c>
      <c r="C229" s="10">
        <v>0</v>
      </c>
      <c r="D229" s="10">
        <v>0</v>
      </c>
    </row>
    <row r="230" spans="1:4">
      <c r="A230" s="10" t="s">
        <v>339</v>
      </c>
      <c r="B230" s="10" t="s">
        <v>271</v>
      </c>
      <c r="C230" s="10">
        <v>0</v>
      </c>
      <c r="D230" s="10">
        <v>0</v>
      </c>
    </row>
    <row r="231" spans="1:4">
      <c r="A231" s="10" t="s">
        <v>488</v>
      </c>
      <c r="B231" s="10" t="s">
        <v>271</v>
      </c>
      <c r="C231" s="10">
        <v>0</v>
      </c>
      <c r="D231" s="10">
        <v>0</v>
      </c>
    </row>
    <row r="232" spans="1:4">
      <c r="A232" s="10" t="s">
        <v>338</v>
      </c>
      <c r="B232" s="10" t="s">
        <v>271</v>
      </c>
      <c r="C232" s="10">
        <v>0</v>
      </c>
      <c r="D232" s="10">
        <v>0</v>
      </c>
    </row>
    <row r="233" spans="1:4">
      <c r="A233" s="10" t="s">
        <v>463</v>
      </c>
      <c r="B233" s="10" t="s">
        <v>271</v>
      </c>
      <c r="C233" s="10">
        <v>0</v>
      </c>
      <c r="D233" s="10">
        <v>0</v>
      </c>
    </row>
    <row r="234" spans="1:4">
      <c r="A234" s="10" t="s">
        <v>337</v>
      </c>
      <c r="B234" s="10" t="s">
        <v>271</v>
      </c>
      <c r="C234" s="10">
        <v>0</v>
      </c>
      <c r="D234" s="10">
        <v>0</v>
      </c>
    </row>
    <row r="235" spans="1:4">
      <c r="A235" s="10" t="s">
        <v>554</v>
      </c>
      <c r="B235" s="10" t="s">
        <v>271</v>
      </c>
      <c r="C235" s="10">
        <v>0</v>
      </c>
      <c r="D235" s="10">
        <v>0</v>
      </c>
    </row>
    <row r="236" spans="1:4">
      <c r="A236" s="10" t="s">
        <v>336</v>
      </c>
      <c r="B236" s="10" t="s">
        <v>271</v>
      </c>
      <c r="C236" s="10">
        <v>0</v>
      </c>
      <c r="D236" s="10">
        <v>0</v>
      </c>
    </row>
    <row r="237" spans="1:4">
      <c r="A237" s="10" t="s">
        <v>335</v>
      </c>
      <c r="B237" s="10" t="s">
        <v>271</v>
      </c>
      <c r="C237" s="10">
        <v>0</v>
      </c>
      <c r="D237" s="10">
        <v>0</v>
      </c>
    </row>
    <row r="238" spans="1:4">
      <c r="A238" s="10" t="s">
        <v>334</v>
      </c>
      <c r="B238" s="10" t="s">
        <v>271</v>
      </c>
      <c r="C238" s="10">
        <v>0</v>
      </c>
      <c r="D238" s="10">
        <v>0</v>
      </c>
    </row>
    <row r="239" spans="1:4">
      <c r="A239" s="10" t="s">
        <v>333</v>
      </c>
      <c r="B239" s="10" t="s">
        <v>271</v>
      </c>
      <c r="C239" s="10">
        <v>0</v>
      </c>
      <c r="D239" s="10">
        <v>0</v>
      </c>
    </row>
    <row r="240" spans="1:4">
      <c r="A240" s="10" t="s">
        <v>332</v>
      </c>
      <c r="B240" s="10" t="s">
        <v>271</v>
      </c>
      <c r="C240" s="10">
        <v>0</v>
      </c>
      <c r="D240" s="10">
        <v>0</v>
      </c>
    </row>
    <row r="241" spans="1:4">
      <c r="A241" s="10" t="s">
        <v>417</v>
      </c>
      <c r="B241" s="10" t="s">
        <v>271</v>
      </c>
      <c r="C241" s="10">
        <v>0</v>
      </c>
      <c r="D241" s="10">
        <v>0</v>
      </c>
    </row>
    <row r="242" spans="1:4">
      <c r="A242" s="10" t="s">
        <v>331</v>
      </c>
      <c r="B242" s="10" t="s">
        <v>271</v>
      </c>
      <c r="C242" s="10">
        <v>0</v>
      </c>
      <c r="D242" s="10">
        <v>0</v>
      </c>
    </row>
    <row r="243" spans="1:4">
      <c r="A243" s="10" t="s">
        <v>372</v>
      </c>
      <c r="B243" s="10" t="s">
        <v>271</v>
      </c>
      <c r="C243" s="10">
        <v>0</v>
      </c>
      <c r="D243" s="10">
        <v>0</v>
      </c>
    </row>
    <row r="244" spans="1:4">
      <c r="A244" s="10" t="s">
        <v>415</v>
      </c>
      <c r="B244" s="10" t="s">
        <v>271</v>
      </c>
      <c r="C244" s="10">
        <v>0</v>
      </c>
      <c r="D244" s="10">
        <v>0</v>
      </c>
    </row>
    <row r="245" spans="1:4">
      <c r="A245" s="10" t="s">
        <v>373</v>
      </c>
      <c r="B245" s="10" t="s">
        <v>271</v>
      </c>
      <c r="C245" s="10">
        <v>0</v>
      </c>
      <c r="D245" s="10">
        <v>0</v>
      </c>
    </row>
    <row r="246" spans="1:4">
      <c r="A246" s="10" t="s">
        <v>546</v>
      </c>
      <c r="B246" s="10" t="s">
        <v>271</v>
      </c>
      <c r="C246" s="10">
        <v>0</v>
      </c>
      <c r="D246" s="10">
        <v>0</v>
      </c>
    </row>
    <row r="247" spans="1:4">
      <c r="A247" s="10" t="s">
        <v>374</v>
      </c>
      <c r="B247" s="10" t="s">
        <v>271</v>
      </c>
      <c r="C247" s="10">
        <v>0</v>
      </c>
      <c r="D247" s="10">
        <v>0</v>
      </c>
    </row>
    <row r="248" spans="1:4">
      <c r="A248" s="10" t="s">
        <v>356</v>
      </c>
      <c r="B248" s="10" t="s">
        <v>271</v>
      </c>
      <c r="C248" s="10">
        <v>0</v>
      </c>
      <c r="D248" s="10">
        <v>0</v>
      </c>
    </row>
    <row r="249" spans="1:4">
      <c r="A249" s="10" t="s">
        <v>308</v>
      </c>
      <c r="B249" s="10" t="s">
        <v>271</v>
      </c>
      <c r="C249" s="10">
        <v>0</v>
      </c>
      <c r="D249" s="10">
        <v>0</v>
      </c>
    </row>
    <row r="250" spans="1:4">
      <c r="A250" s="10" t="s">
        <v>362</v>
      </c>
      <c r="B250" s="10" t="s">
        <v>271</v>
      </c>
      <c r="C250" s="10">
        <v>0</v>
      </c>
      <c r="D250" s="10">
        <v>0</v>
      </c>
    </row>
    <row r="251" spans="1:4">
      <c r="A251" s="10" t="s">
        <v>375</v>
      </c>
      <c r="B251" s="10" t="s">
        <v>271</v>
      </c>
      <c r="C251" s="10">
        <v>0</v>
      </c>
      <c r="D251" s="10">
        <v>0</v>
      </c>
    </row>
    <row r="252" spans="1:4">
      <c r="A252" s="10" t="s">
        <v>376</v>
      </c>
      <c r="B252" s="10" t="s">
        <v>271</v>
      </c>
      <c r="C252" s="10">
        <v>0</v>
      </c>
      <c r="D252" s="10">
        <v>0</v>
      </c>
    </row>
    <row r="253" spans="1:4">
      <c r="A253" s="10" t="s">
        <v>377</v>
      </c>
      <c r="B253" s="10" t="s">
        <v>271</v>
      </c>
      <c r="C253" s="10">
        <v>0</v>
      </c>
      <c r="D253" s="10">
        <v>0</v>
      </c>
    </row>
    <row r="254" spans="1:4">
      <c r="A254" s="10" t="s">
        <v>379</v>
      </c>
      <c r="B254" s="10" t="s">
        <v>271</v>
      </c>
      <c r="C254" s="10">
        <v>0</v>
      </c>
      <c r="D254" s="10">
        <v>0</v>
      </c>
    </row>
    <row r="255" spans="1:4">
      <c r="A255" s="10" t="s">
        <v>366</v>
      </c>
      <c r="B255" s="10" t="s">
        <v>271</v>
      </c>
      <c r="C255" s="10">
        <v>0</v>
      </c>
      <c r="D255" s="10">
        <v>0</v>
      </c>
    </row>
    <row r="256" spans="1:4">
      <c r="A256" s="10" t="s">
        <v>368</v>
      </c>
      <c r="B256" s="10" t="s">
        <v>271</v>
      </c>
      <c r="C256" s="10">
        <v>0</v>
      </c>
      <c r="D256" s="10">
        <v>0</v>
      </c>
    </row>
    <row r="257" spans="1:4">
      <c r="A257" s="10" t="s">
        <v>367</v>
      </c>
      <c r="B257" s="10" t="s">
        <v>271</v>
      </c>
      <c r="C257" s="10">
        <v>0</v>
      </c>
      <c r="D257" s="10">
        <v>0</v>
      </c>
    </row>
    <row r="258" spans="1:4">
      <c r="A258" s="10" t="s">
        <v>363</v>
      </c>
      <c r="B258" s="10" t="s">
        <v>271</v>
      </c>
      <c r="C258" s="10">
        <v>0</v>
      </c>
      <c r="D258" s="10">
        <v>0</v>
      </c>
    </row>
    <row r="259" spans="1:4">
      <c r="A259" s="10" t="s">
        <v>369</v>
      </c>
      <c r="B259" s="10" t="s">
        <v>271</v>
      </c>
      <c r="C259" s="10">
        <v>0</v>
      </c>
      <c r="D259" s="10">
        <v>0</v>
      </c>
    </row>
    <row r="260" spans="1:4">
      <c r="A260" s="10" t="s">
        <v>371</v>
      </c>
      <c r="B260" s="10" t="s">
        <v>271</v>
      </c>
      <c r="C260" s="10">
        <v>0</v>
      </c>
      <c r="D260" s="10">
        <v>0</v>
      </c>
    </row>
    <row r="261" spans="1:4">
      <c r="A261" s="10" t="s">
        <v>380</v>
      </c>
      <c r="B261" s="10" t="s">
        <v>271</v>
      </c>
      <c r="C261" s="10">
        <v>0</v>
      </c>
      <c r="D261" s="10">
        <v>0</v>
      </c>
    </row>
    <row r="262" spans="1:4">
      <c r="A262" s="10" t="s">
        <v>365</v>
      </c>
      <c r="B262" s="10" t="s">
        <v>271</v>
      </c>
      <c r="C262" s="10">
        <v>0</v>
      </c>
      <c r="D262" s="10">
        <v>0</v>
      </c>
    </row>
    <row r="263" spans="1:4">
      <c r="A263" s="10" t="s">
        <v>458</v>
      </c>
      <c r="B263" s="10" t="s">
        <v>271</v>
      </c>
      <c r="C263" s="10">
        <v>0</v>
      </c>
      <c r="D263" s="10">
        <v>0</v>
      </c>
    </row>
    <row r="264" spans="1:4">
      <c r="A264" s="10" t="s">
        <v>381</v>
      </c>
      <c r="B264" s="10" t="s">
        <v>271</v>
      </c>
      <c r="C264" s="10">
        <v>0</v>
      </c>
      <c r="D264" s="10">
        <v>0</v>
      </c>
    </row>
    <row r="265" spans="1:4">
      <c r="A265" s="10" t="s">
        <v>382</v>
      </c>
      <c r="B265" s="10" t="s">
        <v>271</v>
      </c>
      <c r="C265" s="10">
        <v>0</v>
      </c>
      <c r="D265" s="10">
        <v>0</v>
      </c>
    </row>
    <row r="266" spans="1:4">
      <c r="A266" s="10" t="s">
        <v>532</v>
      </c>
      <c r="B266" s="10" t="s">
        <v>271</v>
      </c>
      <c r="C266" s="10">
        <v>0</v>
      </c>
      <c r="D266" s="10">
        <v>0</v>
      </c>
    </row>
    <row r="267" spans="1:4">
      <c r="A267" s="10" t="s">
        <v>383</v>
      </c>
      <c r="B267" s="10" t="s">
        <v>271</v>
      </c>
      <c r="C267" s="10">
        <v>0</v>
      </c>
      <c r="D267" s="10">
        <v>0</v>
      </c>
    </row>
    <row r="268" spans="1:4">
      <c r="A268" s="10" t="s">
        <v>384</v>
      </c>
      <c r="B268" s="10" t="s">
        <v>271</v>
      </c>
      <c r="C268" s="10">
        <v>0</v>
      </c>
      <c r="D268" s="10">
        <v>0</v>
      </c>
    </row>
    <row r="269" spans="1:4">
      <c r="A269" s="10" t="s">
        <v>307</v>
      </c>
      <c r="B269" s="10" t="s">
        <v>271</v>
      </c>
      <c r="C269" s="10">
        <v>0</v>
      </c>
      <c r="D269" s="10">
        <v>0</v>
      </c>
    </row>
    <row r="270" spans="1:4">
      <c r="A270" s="10" t="s">
        <v>295</v>
      </c>
      <c r="B270" s="10" t="s">
        <v>271</v>
      </c>
      <c r="C270" s="10">
        <v>0</v>
      </c>
      <c r="D270" s="10">
        <v>0</v>
      </c>
    </row>
    <row r="271" spans="1:4">
      <c r="A271" s="10" t="s">
        <v>305</v>
      </c>
      <c r="B271" s="10" t="s">
        <v>271</v>
      </c>
      <c r="C271" s="10">
        <v>0</v>
      </c>
      <c r="D271" s="10">
        <v>0</v>
      </c>
    </row>
    <row r="272" spans="1:4">
      <c r="A272" s="10" t="s">
        <v>304</v>
      </c>
      <c r="B272" s="10" t="s">
        <v>271</v>
      </c>
      <c r="C272" s="10">
        <v>0</v>
      </c>
      <c r="D272" s="10">
        <v>0</v>
      </c>
    </row>
    <row r="273" spans="1:4">
      <c r="A273" s="10" t="s">
        <v>253</v>
      </c>
      <c r="B273" s="10" t="s">
        <v>271</v>
      </c>
      <c r="C273" s="10">
        <v>0</v>
      </c>
      <c r="D273" s="10">
        <v>0</v>
      </c>
    </row>
    <row r="274" spans="1:4">
      <c r="A274" s="10" t="s">
        <v>303</v>
      </c>
      <c r="B274" s="10" t="s">
        <v>271</v>
      </c>
      <c r="C274" s="10">
        <v>0</v>
      </c>
      <c r="D274" s="10">
        <v>0</v>
      </c>
    </row>
    <row r="275" spans="1:4">
      <c r="A275" s="10" t="s">
        <v>302</v>
      </c>
      <c r="B275" s="10" t="s">
        <v>271</v>
      </c>
      <c r="C275" s="10">
        <v>0</v>
      </c>
      <c r="D275" s="10">
        <v>0</v>
      </c>
    </row>
    <row r="276" spans="1:4">
      <c r="A276" s="10" t="s">
        <v>301</v>
      </c>
      <c r="B276" s="10" t="s">
        <v>271</v>
      </c>
      <c r="C276" s="10">
        <v>0</v>
      </c>
      <c r="D276" s="10">
        <v>0</v>
      </c>
    </row>
    <row r="277" spans="1:4">
      <c r="A277" s="10" t="s">
        <v>300</v>
      </c>
      <c r="B277" s="10" t="s">
        <v>271</v>
      </c>
      <c r="C277" s="10">
        <v>0</v>
      </c>
      <c r="D277" s="10">
        <v>0</v>
      </c>
    </row>
    <row r="278" spans="1:4">
      <c r="A278" s="10" t="s">
        <v>299</v>
      </c>
      <c r="B278" s="10" t="s">
        <v>271</v>
      </c>
      <c r="C278" s="10">
        <v>0</v>
      </c>
      <c r="D278" s="10">
        <v>0</v>
      </c>
    </row>
    <row r="279" spans="1:4">
      <c r="A279" s="10" t="s">
        <v>568</v>
      </c>
      <c r="B279" s="10" t="s">
        <v>271</v>
      </c>
      <c r="C279" s="10">
        <v>0</v>
      </c>
      <c r="D279" s="10">
        <v>0</v>
      </c>
    </row>
    <row r="280" spans="1:4">
      <c r="A280" s="10" t="s">
        <v>298</v>
      </c>
      <c r="B280" s="10" t="s">
        <v>271</v>
      </c>
      <c r="C280" s="10">
        <v>0</v>
      </c>
      <c r="D280" s="10">
        <v>0</v>
      </c>
    </row>
    <row r="281" spans="1:4">
      <c r="A281" s="10" t="s">
        <v>288</v>
      </c>
      <c r="B281" s="10" t="s">
        <v>271</v>
      </c>
      <c r="C281" s="10">
        <v>0</v>
      </c>
      <c r="D281" s="10">
        <v>0</v>
      </c>
    </row>
    <row r="282" spans="1:4">
      <c r="A282" s="10" t="s">
        <v>566</v>
      </c>
      <c r="B282" s="10" t="s">
        <v>271</v>
      </c>
      <c r="C282" s="10">
        <v>0</v>
      </c>
      <c r="D282" s="10">
        <v>0</v>
      </c>
    </row>
    <row r="283" spans="1:4">
      <c r="A283" s="10" t="s">
        <v>289</v>
      </c>
      <c r="B283" s="10" t="s">
        <v>271</v>
      </c>
      <c r="C283" s="10">
        <v>0</v>
      </c>
      <c r="D283" s="10">
        <v>0</v>
      </c>
    </row>
    <row r="284" spans="1:4">
      <c r="A284" s="10" t="s">
        <v>293</v>
      </c>
      <c r="B284" s="10" t="s">
        <v>271</v>
      </c>
      <c r="C284" s="10">
        <v>0</v>
      </c>
      <c r="D284" s="10">
        <v>0</v>
      </c>
    </row>
    <row r="285" spans="1:4">
      <c r="A285" s="10" t="s">
        <v>565</v>
      </c>
      <c r="B285" s="10" t="s">
        <v>271</v>
      </c>
      <c r="C285" s="10">
        <v>0</v>
      </c>
      <c r="D285" s="10">
        <v>0</v>
      </c>
    </row>
    <row r="286" spans="1:4">
      <c r="A286" s="10" t="s">
        <v>275</v>
      </c>
      <c r="B286" s="10" t="s">
        <v>271</v>
      </c>
      <c r="C286" s="10">
        <v>0</v>
      </c>
      <c r="D286" s="10">
        <v>0</v>
      </c>
    </row>
    <row r="287" spans="1:4">
      <c r="A287" s="10" t="s">
        <v>291</v>
      </c>
      <c r="B287" s="10" t="s">
        <v>271</v>
      </c>
      <c r="C287" s="10">
        <v>0</v>
      </c>
      <c r="D287" s="10">
        <v>0</v>
      </c>
    </row>
    <row r="288" spans="1:4">
      <c r="A288" s="10" t="s">
        <v>230</v>
      </c>
      <c r="B288" s="10" t="s">
        <v>212</v>
      </c>
      <c r="C288" s="10">
        <v>0</v>
      </c>
      <c r="D288" s="10">
        <v>0</v>
      </c>
    </row>
    <row r="289" spans="1:4">
      <c r="A289" s="10" t="s">
        <v>229</v>
      </c>
      <c r="B289" s="10" t="s">
        <v>212</v>
      </c>
      <c r="C289" s="10">
        <v>0</v>
      </c>
      <c r="D289" s="10">
        <v>0</v>
      </c>
    </row>
    <row r="290" spans="1:4">
      <c r="A290" s="10" t="s">
        <v>228</v>
      </c>
      <c r="B290" s="10" t="s">
        <v>212</v>
      </c>
      <c r="C290" s="10">
        <v>0</v>
      </c>
      <c r="D290" s="10">
        <v>0</v>
      </c>
    </row>
    <row r="291" spans="1:4">
      <c r="A291" s="10" t="s">
        <v>564</v>
      </c>
      <c r="B291" s="10" t="s">
        <v>212</v>
      </c>
      <c r="C291" s="10">
        <v>0</v>
      </c>
      <c r="D291" s="10">
        <v>0</v>
      </c>
    </row>
    <row r="292" spans="1:4">
      <c r="A292" s="10" t="s">
        <v>563</v>
      </c>
      <c r="B292" s="10" t="s">
        <v>212</v>
      </c>
      <c r="C292" s="10">
        <v>0</v>
      </c>
      <c r="D292" s="10">
        <v>0</v>
      </c>
    </row>
    <row r="293" spans="1:4">
      <c r="A293" s="10" t="s">
        <v>225</v>
      </c>
      <c r="B293" s="10" t="s">
        <v>212</v>
      </c>
      <c r="C293" s="10">
        <v>0</v>
      </c>
      <c r="D293" s="10">
        <v>0</v>
      </c>
    </row>
    <row r="294" spans="1:4">
      <c r="A294" s="10" t="s">
        <v>562</v>
      </c>
      <c r="B294" s="10" t="s">
        <v>212</v>
      </c>
      <c r="C294" s="10">
        <v>0</v>
      </c>
      <c r="D294" s="10">
        <v>0</v>
      </c>
    </row>
    <row r="295" spans="1:4">
      <c r="A295" s="10" t="s">
        <v>227</v>
      </c>
      <c r="B295" s="10" t="s">
        <v>212</v>
      </c>
      <c r="C295" s="10">
        <v>0</v>
      </c>
      <c r="D295" s="10">
        <v>0</v>
      </c>
    </row>
    <row r="296" spans="1:4">
      <c r="A296" s="10" t="s">
        <v>248</v>
      </c>
      <c r="B296" s="10" t="s">
        <v>212</v>
      </c>
      <c r="C296" s="10">
        <v>0</v>
      </c>
      <c r="D296" s="10">
        <v>0</v>
      </c>
    </row>
    <row r="297" spans="1:4">
      <c r="A297" s="10" t="s">
        <v>330</v>
      </c>
      <c r="B297" s="10" t="s">
        <v>271</v>
      </c>
      <c r="C297" s="10">
        <v>0</v>
      </c>
      <c r="D297" s="10">
        <v>0</v>
      </c>
    </row>
    <row r="298" spans="1:4">
      <c r="A298" s="10" t="s">
        <v>329</v>
      </c>
      <c r="B298" s="10" t="s">
        <v>271</v>
      </c>
      <c r="C298" s="10">
        <v>0</v>
      </c>
      <c r="D298" s="10">
        <v>0</v>
      </c>
    </row>
    <row r="299" spans="1:4">
      <c r="A299" s="10" t="s">
        <v>328</v>
      </c>
      <c r="B299" s="10" t="s">
        <v>271</v>
      </c>
      <c r="C299" s="10">
        <v>0</v>
      </c>
      <c r="D299" s="10">
        <v>0</v>
      </c>
    </row>
    <row r="300" spans="1:4">
      <c r="A300" s="10" t="s">
        <v>327</v>
      </c>
      <c r="B300" s="10" t="s">
        <v>271</v>
      </c>
      <c r="C300" s="10">
        <v>0</v>
      </c>
      <c r="D300" s="10">
        <v>0</v>
      </c>
    </row>
    <row r="301" spans="1:4">
      <c r="A301" s="10" t="s">
        <v>559</v>
      </c>
      <c r="B301" s="10" t="s">
        <v>271</v>
      </c>
      <c r="C301" s="10">
        <v>0</v>
      </c>
      <c r="D301" s="10">
        <v>0</v>
      </c>
    </row>
    <row r="302" spans="1:4">
      <c r="A302" s="10" t="s">
        <v>326</v>
      </c>
      <c r="B302" s="10" t="s">
        <v>271</v>
      </c>
      <c r="C302" s="10">
        <v>0</v>
      </c>
      <c r="D302" s="10">
        <v>0</v>
      </c>
    </row>
    <row r="303" spans="1:4">
      <c r="A303" s="10" t="s">
        <v>282</v>
      </c>
      <c r="B303" s="10" t="s">
        <v>271</v>
      </c>
      <c r="C303" s="10">
        <v>0</v>
      </c>
      <c r="D303" s="10">
        <v>0</v>
      </c>
    </row>
    <row r="304" spans="1:4">
      <c r="A304" s="10" t="s">
        <v>324</v>
      </c>
      <c r="B304" s="10" t="s">
        <v>271</v>
      </c>
      <c r="C304" s="10">
        <v>0</v>
      </c>
      <c r="D304" s="10">
        <v>0</v>
      </c>
    </row>
    <row r="305" spans="1:4">
      <c r="A305" s="10" t="s">
        <v>323</v>
      </c>
      <c r="B305" s="10" t="s">
        <v>271</v>
      </c>
      <c r="C305" s="10">
        <v>0</v>
      </c>
      <c r="D305" s="10">
        <v>0</v>
      </c>
    </row>
    <row r="306" spans="1:4">
      <c r="A306" s="10" t="s">
        <v>322</v>
      </c>
      <c r="B306" s="10" t="s">
        <v>271</v>
      </c>
      <c r="C306" s="10">
        <v>0</v>
      </c>
      <c r="D306" s="10">
        <v>0</v>
      </c>
    </row>
    <row r="307" spans="1:4">
      <c r="A307" s="10" t="s">
        <v>321</v>
      </c>
      <c r="B307" s="10" t="s">
        <v>271</v>
      </c>
      <c r="C307" s="10">
        <v>0</v>
      </c>
      <c r="D307" s="10">
        <v>0</v>
      </c>
    </row>
    <row r="308" spans="1:4">
      <c r="A308" s="10" t="s">
        <v>320</v>
      </c>
      <c r="B308" s="10" t="s">
        <v>271</v>
      </c>
      <c r="C308" s="10">
        <v>0</v>
      </c>
      <c r="D308" s="10">
        <v>0</v>
      </c>
    </row>
    <row r="309" spans="1:4">
      <c r="A309" s="10" t="s">
        <v>461</v>
      </c>
      <c r="B309" s="10" t="s">
        <v>271</v>
      </c>
      <c r="C309" s="10">
        <v>0</v>
      </c>
      <c r="D309" s="10">
        <v>0</v>
      </c>
    </row>
    <row r="310" spans="1:4">
      <c r="A310" s="10" t="s">
        <v>319</v>
      </c>
      <c r="B310" s="10" t="s">
        <v>271</v>
      </c>
      <c r="C310" s="10">
        <v>0</v>
      </c>
      <c r="D310" s="10">
        <v>0</v>
      </c>
    </row>
    <row r="311" spans="1:4">
      <c r="A311" s="10" t="s">
        <v>318</v>
      </c>
      <c r="B311" s="10" t="s">
        <v>271</v>
      </c>
      <c r="C311" s="10">
        <v>0</v>
      </c>
      <c r="D311" s="10">
        <v>0</v>
      </c>
    </row>
    <row r="312" spans="1:4">
      <c r="A312" s="10" t="s">
        <v>558</v>
      </c>
      <c r="B312" s="10" t="s">
        <v>271</v>
      </c>
      <c r="C312" s="10">
        <v>0</v>
      </c>
      <c r="D312" s="10">
        <v>0</v>
      </c>
    </row>
    <row r="313" spans="1:4">
      <c r="A313" s="10" t="s">
        <v>317</v>
      </c>
      <c r="B313" s="10" t="s">
        <v>271</v>
      </c>
      <c r="C313" s="10">
        <v>0</v>
      </c>
      <c r="D313" s="10">
        <v>0</v>
      </c>
    </row>
    <row r="314" spans="1:4">
      <c r="A314" s="10" t="s">
        <v>316</v>
      </c>
      <c r="B314" s="10" t="s">
        <v>271</v>
      </c>
      <c r="C314" s="10">
        <v>0</v>
      </c>
      <c r="D314" s="10">
        <v>0</v>
      </c>
    </row>
    <row r="315" spans="1:4">
      <c r="A315" s="10" t="s">
        <v>315</v>
      </c>
      <c r="B315" s="10" t="s">
        <v>271</v>
      </c>
      <c r="C315" s="10">
        <v>0</v>
      </c>
      <c r="D315" s="10">
        <v>0</v>
      </c>
    </row>
    <row r="316" spans="1:4">
      <c r="A316" s="10" t="s">
        <v>314</v>
      </c>
      <c r="B316" s="10" t="s">
        <v>271</v>
      </c>
      <c r="C316" s="10">
        <v>0</v>
      </c>
      <c r="D316" s="10">
        <v>0</v>
      </c>
    </row>
    <row r="317" spans="1:4">
      <c r="A317" s="10" t="s">
        <v>313</v>
      </c>
      <c r="B317" s="10" t="s">
        <v>271</v>
      </c>
      <c r="C317" s="10">
        <v>0</v>
      </c>
      <c r="D317" s="10">
        <v>0</v>
      </c>
    </row>
    <row r="318" spans="1:4">
      <c r="A318" s="10" t="s">
        <v>312</v>
      </c>
      <c r="B318" s="10" t="s">
        <v>271</v>
      </c>
      <c r="C318" s="10">
        <v>0</v>
      </c>
      <c r="D318" s="10">
        <v>0</v>
      </c>
    </row>
    <row r="319" spans="1:4">
      <c r="A319" s="10" t="s">
        <v>311</v>
      </c>
      <c r="B319" s="10" t="s">
        <v>271</v>
      </c>
      <c r="C319" s="10">
        <v>0</v>
      </c>
      <c r="D319" s="10">
        <v>0</v>
      </c>
    </row>
    <row r="320" spans="1:4">
      <c r="A320" s="10" t="s">
        <v>310</v>
      </c>
      <c r="B320" s="10" t="s">
        <v>271</v>
      </c>
      <c r="C320" s="10">
        <v>0</v>
      </c>
      <c r="D320" s="10">
        <v>0</v>
      </c>
    </row>
    <row r="321" spans="1:4">
      <c r="A321" s="10" t="s">
        <v>450</v>
      </c>
      <c r="B321" s="10" t="s">
        <v>271</v>
      </c>
      <c r="C321" s="10">
        <v>0</v>
      </c>
      <c r="D321" s="10">
        <v>0</v>
      </c>
    </row>
    <row r="322" spans="1:4">
      <c r="A322" s="10" t="s">
        <v>286</v>
      </c>
      <c r="B322" s="10" t="s">
        <v>271</v>
      </c>
      <c r="C322" s="10">
        <v>0</v>
      </c>
      <c r="D322" s="10">
        <v>0</v>
      </c>
    </row>
    <row r="323" spans="1:4">
      <c r="A323" s="10" t="s">
        <v>556</v>
      </c>
      <c r="B323" s="10" t="s">
        <v>271</v>
      </c>
      <c r="C323" s="10">
        <v>0</v>
      </c>
      <c r="D323" s="10">
        <v>0</v>
      </c>
    </row>
    <row r="324" spans="1:4">
      <c r="A324" s="10" t="s">
        <v>309</v>
      </c>
      <c r="B324" s="10" t="s">
        <v>271</v>
      </c>
      <c r="C324" s="10">
        <v>0</v>
      </c>
      <c r="D324" s="10">
        <v>0</v>
      </c>
    </row>
    <row r="325" spans="1:4">
      <c r="A325" s="10" t="s">
        <v>555</v>
      </c>
      <c r="B325" s="10" t="s">
        <v>271</v>
      </c>
      <c r="C325" s="10">
        <v>0</v>
      </c>
      <c r="D325" s="10">
        <v>0</v>
      </c>
    </row>
    <row r="326" spans="1:4">
      <c r="A326" s="10" t="s">
        <v>290</v>
      </c>
      <c r="B326" s="10" t="s">
        <v>271</v>
      </c>
      <c r="C326" s="10">
        <v>0</v>
      </c>
      <c r="D326" s="10">
        <v>0</v>
      </c>
    </row>
    <row r="327" spans="1:4">
      <c r="A327" s="10" t="s">
        <v>82</v>
      </c>
      <c r="B327" s="10" t="s">
        <v>26</v>
      </c>
      <c r="C327" s="10">
        <v>0</v>
      </c>
      <c r="D327" s="10">
        <v>0</v>
      </c>
    </row>
    <row r="328" spans="1:4">
      <c r="A328" s="10" t="s">
        <v>569</v>
      </c>
      <c r="B328" s="10" t="s">
        <v>26</v>
      </c>
      <c r="C328" s="10">
        <v>0</v>
      </c>
      <c r="D328" s="10">
        <v>0</v>
      </c>
    </row>
    <row r="329" spans="1:4">
      <c r="A329" s="10" t="s">
        <v>83</v>
      </c>
      <c r="B329" s="10" t="s">
        <v>26</v>
      </c>
      <c r="C329" s="10">
        <v>0</v>
      </c>
      <c r="D329" s="10">
        <v>0</v>
      </c>
    </row>
    <row r="330" spans="1:4">
      <c r="A330" s="10" t="s">
        <v>84</v>
      </c>
      <c r="B330" s="10" t="s">
        <v>26</v>
      </c>
      <c r="C330" s="10">
        <v>0</v>
      </c>
      <c r="D330" s="10">
        <v>0</v>
      </c>
    </row>
    <row r="331" spans="1:4">
      <c r="A331" s="10" t="s">
        <v>476</v>
      </c>
      <c r="B331" s="10" t="s">
        <v>26</v>
      </c>
      <c r="C331" s="10">
        <v>0</v>
      </c>
      <c r="D331" s="10">
        <v>0</v>
      </c>
    </row>
    <row r="332" spans="1:4">
      <c r="A332" s="10" t="s">
        <v>435</v>
      </c>
      <c r="B332" s="10" t="s">
        <v>26</v>
      </c>
      <c r="C332" s="10">
        <v>0</v>
      </c>
      <c r="D332" s="10">
        <v>0</v>
      </c>
    </row>
    <row r="333" spans="1:4">
      <c r="A333" s="10" t="s">
        <v>571</v>
      </c>
      <c r="B333" s="10" t="s">
        <v>26</v>
      </c>
      <c r="C333" s="10">
        <v>0</v>
      </c>
      <c r="D333" s="10">
        <v>0</v>
      </c>
    </row>
    <row r="334" spans="1:4">
      <c r="A334" s="10" t="s">
        <v>107</v>
      </c>
      <c r="B334" s="10" t="s">
        <v>26</v>
      </c>
      <c r="C334" s="10">
        <v>0</v>
      </c>
      <c r="D334" s="10">
        <v>0</v>
      </c>
    </row>
    <row r="335" spans="1:4">
      <c r="A335" s="10" t="s">
        <v>108</v>
      </c>
      <c r="B335" s="10" t="s">
        <v>26</v>
      </c>
      <c r="C335" s="10">
        <v>0</v>
      </c>
      <c r="D335" s="10">
        <v>0</v>
      </c>
    </row>
    <row r="336" spans="1:4">
      <c r="A336" s="10" t="s">
        <v>109</v>
      </c>
      <c r="B336" s="10" t="s">
        <v>26</v>
      </c>
      <c r="C336" s="10">
        <v>0</v>
      </c>
      <c r="D336" s="10">
        <v>0</v>
      </c>
    </row>
    <row r="337" spans="1:4">
      <c r="A337" s="10" t="s">
        <v>110</v>
      </c>
      <c r="B337" s="10" t="s">
        <v>26</v>
      </c>
      <c r="C337" s="10">
        <v>0</v>
      </c>
      <c r="D337" s="10">
        <v>0</v>
      </c>
    </row>
    <row r="338" spans="1:4">
      <c r="A338" s="10" t="s">
        <v>572</v>
      </c>
      <c r="B338" s="10" t="s">
        <v>26</v>
      </c>
      <c r="C338" s="10">
        <v>0</v>
      </c>
      <c r="D338" s="10">
        <v>0</v>
      </c>
    </row>
    <row r="339" spans="1:4">
      <c r="A339" s="10" t="s">
        <v>447</v>
      </c>
      <c r="B339" s="10" t="s">
        <v>26</v>
      </c>
      <c r="C339" s="10">
        <v>0</v>
      </c>
      <c r="D339" s="10">
        <v>0</v>
      </c>
    </row>
    <row r="340" spans="1:4">
      <c r="A340" s="10" t="s">
        <v>111</v>
      </c>
      <c r="B340" s="10" t="s">
        <v>26</v>
      </c>
      <c r="C340" s="10">
        <v>0</v>
      </c>
      <c r="D340" s="10">
        <v>0</v>
      </c>
    </row>
    <row r="341" spans="1:4">
      <c r="A341" s="10" t="s">
        <v>471</v>
      </c>
      <c r="B341" s="10" t="s">
        <v>26</v>
      </c>
      <c r="C341" s="10">
        <v>0</v>
      </c>
      <c r="D341" s="10">
        <v>0</v>
      </c>
    </row>
    <row r="342" spans="1:4">
      <c r="A342" s="10" t="s">
        <v>112</v>
      </c>
      <c r="B342" s="10" t="s">
        <v>26</v>
      </c>
      <c r="C342" s="10">
        <v>0</v>
      </c>
      <c r="D342" s="10">
        <v>0</v>
      </c>
    </row>
    <row r="343" spans="1:4">
      <c r="A343" s="10" t="s">
        <v>472</v>
      </c>
      <c r="B343" s="10" t="s">
        <v>26</v>
      </c>
      <c r="C343" s="10">
        <v>0</v>
      </c>
      <c r="D343" s="10">
        <v>0</v>
      </c>
    </row>
    <row r="344" spans="1:4">
      <c r="A344" s="10" t="s">
        <v>46</v>
      </c>
      <c r="B344" s="10" t="s">
        <v>26</v>
      </c>
      <c r="C344" s="10">
        <v>0</v>
      </c>
      <c r="D344" s="10">
        <v>0</v>
      </c>
    </row>
    <row r="345" spans="1:4">
      <c r="A345" s="10" t="s">
        <v>573</v>
      </c>
      <c r="B345" s="10" t="s">
        <v>26</v>
      </c>
      <c r="C345" s="10">
        <v>0</v>
      </c>
      <c r="D345" s="10">
        <v>0</v>
      </c>
    </row>
    <row r="346" spans="1:4">
      <c r="A346" s="10" t="s">
        <v>113</v>
      </c>
      <c r="B346" s="10" t="s">
        <v>26</v>
      </c>
      <c r="C346" s="10">
        <v>0</v>
      </c>
      <c r="D346" s="10">
        <v>0</v>
      </c>
    </row>
    <row r="347" spans="1:4">
      <c r="A347" s="10" t="s">
        <v>500</v>
      </c>
      <c r="B347" s="10" t="s">
        <v>26</v>
      </c>
      <c r="C347" s="10">
        <v>0</v>
      </c>
      <c r="D347" s="10">
        <v>0</v>
      </c>
    </row>
    <row r="348" spans="1:4">
      <c r="A348" s="10" t="s">
        <v>114</v>
      </c>
      <c r="B348" s="10" t="s">
        <v>26</v>
      </c>
      <c r="C348" s="10">
        <v>0</v>
      </c>
      <c r="D348" s="10">
        <v>0</v>
      </c>
    </row>
    <row r="349" spans="1:4">
      <c r="A349" s="10" t="s">
        <v>30</v>
      </c>
      <c r="B349" s="10" t="s">
        <v>26</v>
      </c>
      <c r="C349" s="10">
        <v>0</v>
      </c>
      <c r="D349" s="10">
        <v>0</v>
      </c>
    </row>
    <row r="350" spans="1:4">
      <c r="A350" s="10" t="s">
        <v>574</v>
      </c>
      <c r="B350" s="10" t="s">
        <v>26</v>
      </c>
      <c r="C350" s="10">
        <v>0</v>
      </c>
      <c r="D350" s="10">
        <v>0</v>
      </c>
    </row>
    <row r="351" spans="1:4">
      <c r="A351" s="10" t="s">
        <v>97</v>
      </c>
      <c r="B351" s="10" t="s">
        <v>26</v>
      </c>
      <c r="C351" s="10">
        <v>0</v>
      </c>
      <c r="D351" s="10">
        <v>0</v>
      </c>
    </row>
    <row r="352" spans="1:4">
      <c r="A352" s="10" t="s">
        <v>98</v>
      </c>
      <c r="B352" s="10" t="s">
        <v>26</v>
      </c>
      <c r="C352" s="10">
        <v>0</v>
      </c>
      <c r="D352" s="10">
        <v>0</v>
      </c>
    </row>
    <row r="353" spans="1:4">
      <c r="A353" s="10" t="s">
        <v>29</v>
      </c>
      <c r="B353" s="10" t="s">
        <v>26</v>
      </c>
      <c r="C353" s="10">
        <v>0</v>
      </c>
      <c r="D353" s="10">
        <v>0</v>
      </c>
    </row>
    <row r="354" spans="1:4">
      <c r="A354" s="10" t="s">
        <v>99</v>
      </c>
      <c r="B354" s="10" t="s">
        <v>26</v>
      </c>
      <c r="C354" s="10">
        <v>0</v>
      </c>
      <c r="D354" s="10">
        <v>0</v>
      </c>
    </row>
    <row r="355" spans="1:4">
      <c r="A355" s="10" t="s">
        <v>100</v>
      </c>
      <c r="B355" s="10" t="s">
        <v>26</v>
      </c>
      <c r="C355" s="10">
        <v>0</v>
      </c>
      <c r="D355" s="10">
        <v>0</v>
      </c>
    </row>
    <row r="356" spans="1:4">
      <c r="A356" s="10" t="s">
        <v>101</v>
      </c>
      <c r="B356" s="10" t="s">
        <v>26</v>
      </c>
      <c r="C356" s="10">
        <v>0</v>
      </c>
      <c r="D356" s="10">
        <v>0</v>
      </c>
    </row>
    <row r="357" spans="1:4">
      <c r="A357" s="10" t="s">
        <v>102</v>
      </c>
      <c r="B357" s="10" t="s">
        <v>26</v>
      </c>
      <c r="C357" s="10">
        <v>0</v>
      </c>
      <c r="D357" s="10">
        <v>0</v>
      </c>
    </row>
    <row r="358" spans="1:4">
      <c r="A358" s="10" t="s">
        <v>397</v>
      </c>
      <c r="B358" s="10" t="s">
        <v>116</v>
      </c>
      <c r="C358" s="10">
        <v>0</v>
      </c>
      <c r="D358" s="10">
        <v>0</v>
      </c>
    </row>
    <row r="359" spans="1:4">
      <c r="A359" s="10" t="s">
        <v>169</v>
      </c>
      <c r="B359" s="10" t="s">
        <v>116</v>
      </c>
      <c r="C359" s="10">
        <v>0</v>
      </c>
      <c r="D359" s="10">
        <v>0</v>
      </c>
    </row>
    <row r="360" spans="1:4">
      <c r="A360" s="10" t="s">
        <v>171</v>
      </c>
      <c r="B360" s="10" t="s">
        <v>116</v>
      </c>
      <c r="C360" s="10">
        <v>0</v>
      </c>
      <c r="D360" s="10">
        <v>0</v>
      </c>
    </row>
    <row r="361" spans="1:4">
      <c r="A361" s="10" t="s">
        <v>575</v>
      </c>
      <c r="B361" s="10" t="s">
        <v>26</v>
      </c>
      <c r="C361" s="10">
        <v>0</v>
      </c>
      <c r="D361" s="10">
        <v>0</v>
      </c>
    </row>
    <row r="362" spans="1:4">
      <c r="A362" s="10" t="s">
        <v>469</v>
      </c>
      <c r="B362" s="10" t="s">
        <v>26</v>
      </c>
      <c r="C362" s="10">
        <v>0</v>
      </c>
      <c r="D362" s="10">
        <v>0</v>
      </c>
    </row>
    <row r="363" spans="1:4">
      <c r="A363" s="10" t="s">
        <v>85</v>
      </c>
      <c r="B363" s="10" t="s">
        <v>26</v>
      </c>
      <c r="C363" s="10">
        <v>0</v>
      </c>
      <c r="D363" s="10">
        <v>0</v>
      </c>
    </row>
    <row r="364" spans="1:4">
      <c r="A364" s="10" t="s">
        <v>350</v>
      </c>
      <c r="B364" s="10" t="s">
        <v>26</v>
      </c>
      <c r="C364" s="10">
        <v>0</v>
      </c>
      <c r="D364" s="10">
        <v>0</v>
      </c>
    </row>
    <row r="365" spans="1:4">
      <c r="A365" s="10" t="s">
        <v>86</v>
      </c>
      <c r="B365" s="10" t="s">
        <v>26</v>
      </c>
      <c r="C365" s="10">
        <v>0</v>
      </c>
      <c r="D365" s="10">
        <v>0</v>
      </c>
    </row>
    <row r="366" spans="1:4">
      <c r="A366" s="10" t="s">
        <v>87</v>
      </c>
      <c r="B366" s="10" t="s">
        <v>26</v>
      </c>
      <c r="C366" s="10">
        <v>0</v>
      </c>
      <c r="D366" s="10">
        <v>0</v>
      </c>
    </row>
    <row r="367" spans="1:4">
      <c r="A367" s="10" t="s">
        <v>88</v>
      </c>
      <c r="B367" s="10" t="s">
        <v>26</v>
      </c>
      <c r="C367" s="10">
        <v>0</v>
      </c>
      <c r="D367" s="10">
        <v>0</v>
      </c>
    </row>
    <row r="368" spans="1:4">
      <c r="A368" s="10" t="s">
        <v>89</v>
      </c>
      <c r="B368" s="10" t="s">
        <v>26</v>
      </c>
      <c r="C368" s="10">
        <v>0</v>
      </c>
      <c r="D368" s="10">
        <v>0</v>
      </c>
    </row>
    <row r="369" spans="1:4">
      <c r="A369" s="10" t="s">
        <v>481</v>
      </c>
      <c r="B369" s="10" t="s">
        <v>26</v>
      </c>
      <c r="C369" s="10">
        <v>0</v>
      </c>
      <c r="D369" s="10">
        <v>0</v>
      </c>
    </row>
    <row r="370" spans="1:4">
      <c r="A370" s="10" t="s">
        <v>90</v>
      </c>
      <c r="B370" s="10" t="s">
        <v>26</v>
      </c>
      <c r="C370" s="10">
        <v>0</v>
      </c>
      <c r="D370" s="10">
        <v>0</v>
      </c>
    </row>
    <row r="371" spans="1:4">
      <c r="A371" s="10" t="s">
        <v>91</v>
      </c>
      <c r="B371" s="10" t="s">
        <v>26</v>
      </c>
      <c r="C371" s="10">
        <v>0</v>
      </c>
      <c r="D371" s="10">
        <v>0</v>
      </c>
    </row>
    <row r="372" spans="1:4">
      <c r="A372" s="10" t="s">
        <v>420</v>
      </c>
      <c r="B372" s="10" t="s">
        <v>26</v>
      </c>
      <c r="C372" s="10">
        <v>0</v>
      </c>
      <c r="D372" s="10">
        <v>0</v>
      </c>
    </row>
    <row r="373" spans="1:4">
      <c r="A373" s="10" t="s">
        <v>577</v>
      </c>
      <c r="B373" s="10" t="s">
        <v>26</v>
      </c>
      <c r="C373" s="10">
        <v>0</v>
      </c>
      <c r="D373" s="10">
        <v>0</v>
      </c>
    </row>
    <row r="374" spans="1:4">
      <c r="A374" s="10" t="s">
        <v>467</v>
      </c>
      <c r="B374" s="10" t="s">
        <v>26</v>
      </c>
      <c r="C374" s="10">
        <v>0</v>
      </c>
      <c r="D374" s="10">
        <v>0</v>
      </c>
    </row>
    <row r="375" spans="1:4">
      <c r="A375" s="10" t="s">
        <v>93</v>
      </c>
      <c r="B375" s="10" t="s">
        <v>26</v>
      </c>
      <c r="C375" s="10">
        <v>0</v>
      </c>
      <c r="D375" s="10">
        <v>0</v>
      </c>
    </row>
    <row r="376" spans="1:4">
      <c r="A376" s="10" t="s">
        <v>32</v>
      </c>
      <c r="B376" s="10" t="s">
        <v>26</v>
      </c>
      <c r="C376" s="10">
        <v>0</v>
      </c>
      <c r="D376" s="10">
        <v>0</v>
      </c>
    </row>
    <row r="377" spans="1:4">
      <c r="A377" s="10" t="s">
        <v>45</v>
      </c>
      <c r="B377" s="10" t="s">
        <v>26</v>
      </c>
      <c r="C377" s="10">
        <v>0</v>
      </c>
      <c r="D377" s="10">
        <v>0</v>
      </c>
    </row>
    <row r="378" spans="1:4">
      <c r="A378" s="10" t="s">
        <v>94</v>
      </c>
      <c r="B378" s="10" t="s">
        <v>26</v>
      </c>
      <c r="C378" s="10">
        <v>0</v>
      </c>
      <c r="D378" s="10">
        <v>0</v>
      </c>
    </row>
    <row r="379" spans="1:4">
      <c r="A379" s="10" t="s">
        <v>95</v>
      </c>
      <c r="B379" s="10" t="s">
        <v>26</v>
      </c>
      <c r="C379" s="10">
        <v>0</v>
      </c>
      <c r="D379" s="10">
        <v>0</v>
      </c>
    </row>
    <row r="380" spans="1:4">
      <c r="A380" s="10" t="s">
        <v>578</v>
      </c>
      <c r="B380" s="10" t="s">
        <v>26</v>
      </c>
      <c r="C380" s="10">
        <v>0</v>
      </c>
      <c r="D380" s="10">
        <v>0</v>
      </c>
    </row>
    <row r="381" spans="1:4">
      <c r="A381" s="10" t="s">
        <v>96</v>
      </c>
      <c r="B381" s="10" t="s">
        <v>26</v>
      </c>
      <c r="C381" s="10">
        <v>0</v>
      </c>
      <c r="D381" s="10">
        <v>0</v>
      </c>
    </row>
    <row r="382" spans="1:4">
      <c r="A382" s="10" t="s">
        <v>78</v>
      </c>
      <c r="B382" s="10" t="s">
        <v>26</v>
      </c>
      <c r="C382" s="10">
        <v>0</v>
      </c>
      <c r="D382" s="10">
        <v>0</v>
      </c>
    </row>
    <row r="383" spans="1:4">
      <c r="A383" s="10" t="s">
        <v>79</v>
      </c>
      <c r="B383" s="10" t="s">
        <v>26</v>
      </c>
      <c r="C383" s="10">
        <v>0</v>
      </c>
      <c r="D383" s="10">
        <v>0</v>
      </c>
    </row>
    <row r="384" spans="1:4">
      <c r="A384" s="10" t="s">
        <v>80</v>
      </c>
      <c r="B384" s="10" t="s">
        <v>26</v>
      </c>
      <c r="C384" s="10">
        <v>0</v>
      </c>
      <c r="D384" s="10">
        <v>0</v>
      </c>
    </row>
    <row r="385" spans="1:4">
      <c r="A385" s="10" t="s">
        <v>81</v>
      </c>
      <c r="B385" s="10" t="s">
        <v>26</v>
      </c>
      <c r="C385" s="10">
        <v>0</v>
      </c>
      <c r="D385" s="10">
        <v>0</v>
      </c>
    </row>
    <row r="386" spans="1:4">
      <c r="A386" s="10" t="s">
        <v>579</v>
      </c>
      <c r="B386" s="10" t="s">
        <v>26</v>
      </c>
      <c r="C386" s="10">
        <v>0</v>
      </c>
      <c r="D386" s="10">
        <v>0</v>
      </c>
    </row>
    <row r="387" spans="1:4">
      <c r="A387" s="10" t="s">
        <v>580</v>
      </c>
      <c r="B387" s="10" t="s">
        <v>26</v>
      </c>
      <c r="C387" s="10">
        <v>0</v>
      </c>
      <c r="D387" s="10">
        <v>0</v>
      </c>
    </row>
    <row r="388" spans="1:4">
      <c r="A388" s="10" t="s">
        <v>72</v>
      </c>
      <c r="B388" s="10" t="s">
        <v>26</v>
      </c>
      <c r="C388" s="10">
        <v>0</v>
      </c>
      <c r="D388" s="10">
        <v>0</v>
      </c>
    </row>
    <row r="389" spans="1:4">
      <c r="A389" s="10" t="s">
        <v>581</v>
      </c>
      <c r="B389" s="10" t="s">
        <v>26</v>
      </c>
      <c r="C389" s="10">
        <v>0</v>
      </c>
      <c r="D389" s="10">
        <v>0</v>
      </c>
    </row>
    <row r="390" spans="1:4">
      <c r="A390" s="10" t="s">
        <v>582</v>
      </c>
      <c r="B390" s="10" t="s">
        <v>26</v>
      </c>
      <c r="C390" s="10">
        <v>0</v>
      </c>
      <c r="D390" s="10">
        <v>0</v>
      </c>
    </row>
    <row r="391" spans="1:4">
      <c r="A391" s="10" t="s">
        <v>422</v>
      </c>
      <c r="B391" s="10" t="s">
        <v>26</v>
      </c>
      <c r="C391" s="10">
        <v>0</v>
      </c>
      <c r="D391" s="10">
        <v>0</v>
      </c>
    </row>
    <row r="392" spans="1:4">
      <c r="A392" s="10" t="s">
        <v>39</v>
      </c>
      <c r="B392" s="10" t="s">
        <v>26</v>
      </c>
      <c r="C392" s="10">
        <v>0</v>
      </c>
      <c r="D392" s="10">
        <v>0</v>
      </c>
    </row>
    <row r="393" spans="1:4">
      <c r="A393" s="10" t="s">
        <v>583</v>
      </c>
      <c r="B393" s="10" t="s">
        <v>26</v>
      </c>
      <c r="C393" s="10">
        <v>0</v>
      </c>
      <c r="D393" s="10">
        <v>0</v>
      </c>
    </row>
    <row r="394" spans="1:4">
      <c r="A394" s="10" t="s">
        <v>75</v>
      </c>
      <c r="B394" s="10" t="s">
        <v>26</v>
      </c>
      <c r="C394" s="10">
        <v>0</v>
      </c>
      <c r="D394" s="10">
        <v>0</v>
      </c>
    </row>
    <row r="395" spans="1:4">
      <c r="A395" s="10" t="s">
        <v>76</v>
      </c>
      <c r="B395" s="10" t="s">
        <v>26</v>
      </c>
      <c r="C395" s="10">
        <v>0</v>
      </c>
      <c r="D395" s="10">
        <v>0</v>
      </c>
    </row>
    <row r="396" spans="1:4">
      <c r="A396" s="10" t="s">
        <v>61</v>
      </c>
      <c r="B396" s="10" t="s">
        <v>26</v>
      </c>
      <c r="C396" s="10">
        <v>0</v>
      </c>
      <c r="D396" s="10">
        <v>0</v>
      </c>
    </row>
    <row r="397" spans="1:4">
      <c r="A397" s="10" t="s">
        <v>62</v>
      </c>
      <c r="B397" s="10" t="s">
        <v>26</v>
      </c>
      <c r="C397" s="10">
        <v>0</v>
      </c>
      <c r="D397" s="10">
        <v>0</v>
      </c>
    </row>
    <row r="398" spans="1:4">
      <c r="A398" s="10" t="s">
        <v>584</v>
      </c>
      <c r="B398" s="10" t="s">
        <v>26</v>
      </c>
      <c r="C398" s="10">
        <v>0</v>
      </c>
      <c r="D398" s="10">
        <v>0</v>
      </c>
    </row>
    <row r="399" spans="1:4">
      <c r="A399" s="10" t="s">
        <v>63</v>
      </c>
      <c r="B399" s="10" t="s">
        <v>26</v>
      </c>
      <c r="C399" s="10">
        <v>0</v>
      </c>
      <c r="D399" s="10">
        <v>0</v>
      </c>
    </row>
    <row r="400" spans="1:4">
      <c r="A400" s="10" t="s">
        <v>64</v>
      </c>
      <c r="B400" s="10" t="s">
        <v>26</v>
      </c>
      <c r="C400" s="10">
        <v>0</v>
      </c>
      <c r="D400" s="10">
        <v>0</v>
      </c>
    </row>
    <row r="401" spans="1:4">
      <c r="A401" s="10" t="s">
        <v>423</v>
      </c>
      <c r="B401" s="10" t="s">
        <v>26</v>
      </c>
      <c r="C401" s="10">
        <v>0</v>
      </c>
      <c r="D401" s="10">
        <v>0</v>
      </c>
    </row>
    <row r="402" spans="1:4">
      <c r="A402" s="10" t="s">
        <v>65</v>
      </c>
      <c r="B402" s="10" t="s">
        <v>26</v>
      </c>
      <c r="C402" s="10">
        <v>0</v>
      </c>
      <c r="D402" s="10">
        <v>0</v>
      </c>
    </row>
    <row r="403" spans="1:4">
      <c r="A403" s="10" t="s">
        <v>351</v>
      </c>
      <c r="B403" s="10" t="s">
        <v>26</v>
      </c>
      <c r="C403" s="10">
        <v>0</v>
      </c>
      <c r="D403" s="10">
        <v>0</v>
      </c>
    </row>
    <row r="404" spans="1:4">
      <c r="A404" s="10" t="s">
        <v>66</v>
      </c>
      <c r="B404" s="10" t="s">
        <v>26</v>
      </c>
      <c r="C404" s="10">
        <v>0</v>
      </c>
      <c r="D404" s="10">
        <v>0</v>
      </c>
    </row>
    <row r="405" spans="1:4">
      <c r="A405" s="10" t="s">
        <v>48</v>
      </c>
      <c r="B405" s="10" t="s">
        <v>26</v>
      </c>
      <c r="C405" s="10">
        <v>0</v>
      </c>
      <c r="D405" s="10">
        <v>0</v>
      </c>
    </row>
    <row r="406" spans="1:4">
      <c r="A406" s="10" t="s">
        <v>67</v>
      </c>
      <c r="B406" s="10" t="s">
        <v>26</v>
      </c>
      <c r="C406" s="10">
        <v>0</v>
      </c>
      <c r="D406" s="10">
        <v>0</v>
      </c>
    </row>
    <row r="407" spans="1:4">
      <c r="A407" s="10" t="s">
        <v>68</v>
      </c>
      <c r="B407" s="10" t="s">
        <v>26</v>
      </c>
      <c r="C407" s="10">
        <v>0</v>
      </c>
      <c r="D407" s="10">
        <v>0</v>
      </c>
    </row>
    <row r="408" spans="1:4">
      <c r="A408" s="10" t="s">
        <v>399</v>
      </c>
      <c r="B408" s="10" t="s">
        <v>26</v>
      </c>
      <c r="C408" s="10">
        <v>0</v>
      </c>
      <c r="D408" s="10">
        <v>0</v>
      </c>
    </row>
    <row r="409" spans="1:4">
      <c r="A409" s="10" t="s">
        <v>642</v>
      </c>
      <c r="B409" s="10" t="s">
        <v>26</v>
      </c>
      <c r="C409" s="10">
        <v>0</v>
      </c>
      <c r="D409" s="10">
        <v>0</v>
      </c>
    </row>
    <row r="410" spans="1:4">
      <c r="A410" s="10" t="s">
        <v>585</v>
      </c>
      <c r="B410" s="10" t="s">
        <v>26</v>
      </c>
      <c r="C410" s="10">
        <v>0</v>
      </c>
      <c r="D410" s="10">
        <v>0</v>
      </c>
    </row>
    <row r="411" spans="1:4">
      <c r="A411" s="10" t="s">
        <v>69</v>
      </c>
      <c r="B411" s="10" t="s">
        <v>26</v>
      </c>
      <c r="C411" s="10">
        <v>0</v>
      </c>
      <c r="D411" s="10">
        <v>0</v>
      </c>
    </row>
    <row r="412" spans="1:4">
      <c r="A412" s="10" t="s">
        <v>586</v>
      </c>
      <c r="B412" s="10" t="s">
        <v>26</v>
      </c>
      <c r="C412" s="10">
        <v>0</v>
      </c>
      <c r="D412" s="10">
        <v>0</v>
      </c>
    </row>
    <row r="413" spans="1:4">
      <c r="A413" s="10" t="s">
        <v>70</v>
      </c>
      <c r="B413" s="10" t="s">
        <v>26</v>
      </c>
      <c r="C413" s="10">
        <v>0</v>
      </c>
      <c r="D413" s="10">
        <v>0</v>
      </c>
    </row>
    <row r="414" spans="1:4">
      <c r="A414" s="10" t="s">
        <v>494</v>
      </c>
      <c r="B414" s="10" t="s">
        <v>26</v>
      </c>
      <c r="C414" s="10">
        <v>0</v>
      </c>
      <c r="D414" s="10">
        <v>0</v>
      </c>
    </row>
    <row r="415" spans="1:4">
      <c r="A415" s="10" t="s">
        <v>400</v>
      </c>
      <c r="B415" s="10" t="s">
        <v>26</v>
      </c>
      <c r="C415" s="10">
        <v>0</v>
      </c>
      <c r="D415" s="10">
        <v>0</v>
      </c>
    </row>
    <row r="416" spans="1:4">
      <c r="A416" s="10" t="s">
        <v>587</v>
      </c>
      <c r="B416" s="10" t="s">
        <v>26</v>
      </c>
      <c r="C416" s="10">
        <v>0</v>
      </c>
      <c r="D416" s="10">
        <v>0</v>
      </c>
    </row>
    <row r="417" spans="1:4">
      <c r="A417" s="10" t="s">
        <v>588</v>
      </c>
      <c r="B417" s="10" t="s">
        <v>26</v>
      </c>
      <c r="C417" s="10">
        <v>0</v>
      </c>
      <c r="D417" s="10">
        <v>0</v>
      </c>
    </row>
    <row r="418" spans="1:4">
      <c r="A418" s="10" t="s">
        <v>495</v>
      </c>
      <c r="B418" s="10" t="s">
        <v>26</v>
      </c>
      <c r="C418" s="10">
        <v>0</v>
      </c>
      <c r="D418" s="10">
        <v>0</v>
      </c>
    </row>
    <row r="419" spans="1:4">
      <c r="A419" s="10" t="s">
        <v>104</v>
      </c>
      <c r="B419" s="10" t="s">
        <v>26</v>
      </c>
      <c r="C419" s="10">
        <v>0</v>
      </c>
      <c r="D419" s="10">
        <v>0</v>
      </c>
    </row>
    <row r="420" spans="1:4">
      <c r="A420" s="10" t="s">
        <v>105</v>
      </c>
      <c r="B420" s="10" t="s">
        <v>26</v>
      </c>
      <c r="C420" s="10">
        <v>0</v>
      </c>
      <c r="D420" s="10">
        <v>0</v>
      </c>
    </row>
    <row r="421" spans="1:4">
      <c r="A421" s="10" t="s">
        <v>424</v>
      </c>
      <c r="B421" s="10" t="s">
        <v>26</v>
      </c>
      <c r="C421" s="10">
        <v>0</v>
      </c>
      <c r="D421" s="10">
        <v>0</v>
      </c>
    </row>
    <row r="422" spans="1:4">
      <c r="A422" s="10" t="s">
        <v>589</v>
      </c>
      <c r="B422" s="10" t="s">
        <v>26</v>
      </c>
      <c r="C422" s="10">
        <v>0</v>
      </c>
      <c r="D422" s="10">
        <v>0</v>
      </c>
    </row>
    <row r="423" spans="1:4">
      <c r="A423" s="10" t="s">
        <v>28</v>
      </c>
      <c r="B423" s="10" t="s">
        <v>26</v>
      </c>
      <c r="C423" s="10">
        <v>0</v>
      </c>
      <c r="D423" s="10">
        <v>0</v>
      </c>
    </row>
    <row r="424" spans="1:4">
      <c r="A424" s="10" t="s">
        <v>57</v>
      </c>
      <c r="B424" s="10" t="s">
        <v>26</v>
      </c>
      <c r="C424" s="10">
        <v>0</v>
      </c>
      <c r="D424" s="10">
        <v>0</v>
      </c>
    </row>
    <row r="425" spans="1:4">
      <c r="A425" s="10" t="s">
        <v>453</v>
      </c>
      <c r="B425" s="10" t="s">
        <v>26</v>
      </c>
      <c r="C425" s="10">
        <v>0</v>
      </c>
      <c r="D425" s="10">
        <v>0</v>
      </c>
    </row>
    <row r="426" spans="1:4">
      <c r="A426" s="10" t="s">
        <v>441</v>
      </c>
      <c r="B426" s="10" t="s">
        <v>26</v>
      </c>
      <c r="C426" s="10">
        <v>0</v>
      </c>
      <c r="D426" s="10">
        <v>0</v>
      </c>
    </row>
    <row r="427" spans="1:4">
      <c r="A427" s="10" t="s">
        <v>59</v>
      </c>
      <c r="B427" s="10" t="s">
        <v>26</v>
      </c>
      <c r="C427" s="10">
        <v>0</v>
      </c>
      <c r="D427" s="10">
        <v>0</v>
      </c>
    </row>
    <row r="428" spans="1:4">
      <c r="A428" s="10" t="s">
        <v>44</v>
      </c>
      <c r="B428" s="10" t="s">
        <v>26</v>
      </c>
      <c r="C428" s="10">
        <v>0</v>
      </c>
      <c r="D428" s="10">
        <v>0</v>
      </c>
    </row>
    <row r="429" spans="1:4">
      <c r="A429" s="10" t="s">
        <v>455</v>
      </c>
      <c r="B429" s="10" t="s">
        <v>26</v>
      </c>
      <c r="C429" s="10">
        <v>0</v>
      </c>
      <c r="D429" s="10">
        <v>0</v>
      </c>
    </row>
    <row r="430" spans="1:4">
      <c r="A430" s="10" t="s">
        <v>236</v>
      </c>
      <c r="B430" s="10" t="s">
        <v>26</v>
      </c>
      <c r="C430" s="10">
        <v>0</v>
      </c>
      <c r="D430" s="10">
        <v>0</v>
      </c>
    </row>
    <row r="431" spans="1:4">
      <c r="A431" s="10" t="s">
        <v>456</v>
      </c>
      <c r="B431" s="10" t="s">
        <v>26</v>
      </c>
      <c r="C431" s="10">
        <v>0</v>
      </c>
      <c r="D431" s="10">
        <v>0</v>
      </c>
    </row>
    <row r="432" spans="1:4">
      <c r="A432" s="10" t="s">
        <v>60</v>
      </c>
      <c r="B432" s="10" t="s">
        <v>26</v>
      </c>
      <c r="C432" s="10">
        <v>0</v>
      </c>
      <c r="D432" s="10">
        <v>0</v>
      </c>
    </row>
    <row r="433" spans="1:4">
      <c r="A433" s="10" t="s">
        <v>485</v>
      </c>
      <c r="B433" s="10" t="s">
        <v>26</v>
      </c>
      <c r="C433" s="10">
        <v>0</v>
      </c>
      <c r="D433" s="10">
        <v>0</v>
      </c>
    </row>
    <row r="434" spans="1:4">
      <c r="A434" s="10" t="s">
        <v>50</v>
      </c>
      <c r="B434" s="10" t="s">
        <v>26</v>
      </c>
      <c r="C434" s="10">
        <v>0</v>
      </c>
      <c r="D434" s="10">
        <v>0</v>
      </c>
    </row>
    <row r="435" spans="1:4">
      <c r="A435" s="10" t="s">
        <v>51</v>
      </c>
      <c r="B435" s="10" t="s">
        <v>26</v>
      </c>
      <c r="C435" s="10">
        <v>0</v>
      </c>
      <c r="D435" s="10">
        <v>0</v>
      </c>
    </row>
    <row r="436" spans="1:4">
      <c r="A436" s="10" t="s">
        <v>391</v>
      </c>
      <c r="B436" s="10" t="s">
        <v>26</v>
      </c>
      <c r="C436" s="10">
        <v>0</v>
      </c>
      <c r="D436" s="10">
        <v>0</v>
      </c>
    </row>
    <row r="437" spans="1:4">
      <c r="A437" s="10" t="s">
        <v>47</v>
      </c>
      <c r="B437" s="10" t="s">
        <v>26</v>
      </c>
      <c r="C437" s="10">
        <v>0</v>
      </c>
      <c r="D437" s="10">
        <v>0</v>
      </c>
    </row>
    <row r="438" spans="1:4">
      <c r="A438" s="10" t="s">
        <v>341</v>
      </c>
      <c r="B438" s="10" t="s">
        <v>26</v>
      </c>
      <c r="C438" s="10">
        <v>0</v>
      </c>
      <c r="D438" s="10">
        <v>0</v>
      </c>
    </row>
    <row r="439" spans="1:4">
      <c r="A439" s="10" t="s">
        <v>448</v>
      </c>
      <c r="B439" s="10" t="s">
        <v>26</v>
      </c>
      <c r="C439" s="10">
        <v>0</v>
      </c>
      <c r="D439" s="10">
        <v>0</v>
      </c>
    </row>
    <row r="440" spans="1:4">
      <c r="A440" s="10" t="s">
        <v>53</v>
      </c>
      <c r="B440" s="10" t="s">
        <v>26</v>
      </c>
      <c r="C440" s="10">
        <v>0</v>
      </c>
      <c r="D440" s="10">
        <v>0</v>
      </c>
    </row>
    <row r="441" spans="1:4">
      <c r="A441" s="10" t="s">
        <v>54</v>
      </c>
      <c r="B441" s="10" t="s">
        <v>26</v>
      </c>
      <c r="C441" s="10">
        <v>0</v>
      </c>
      <c r="D441" s="10">
        <v>0</v>
      </c>
    </row>
    <row r="442" spans="1:4">
      <c r="A442" s="10" t="s">
        <v>55</v>
      </c>
      <c r="B442" s="10" t="s">
        <v>26</v>
      </c>
      <c r="C442" s="10">
        <v>0</v>
      </c>
      <c r="D442" s="10">
        <v>0</v>
      </c>
    </row>
    <row r="443" spans="1:4">
      <c r="A443" s="10" t="s">
        <v>56</v>
      </c>
      <c r="B443" s="10" t="s">
        <v>26</v>
      </c>
      <c r="C443" s="10">
        <v>0</v>
      </c>
      <c r="D443" s="10">
        <v>0</v>
      </c>
    </row>
    <row r="444" spans="1:4">
      <c r="A444" s="10" t="s">
        <v>590</v>
      </c>
      <c r="B444" s="10" t="s">
        <v>26</v>
      </c>
      <c r="C444" s="10">
        <v>0</v>
      </c>
      <c r="D444" s="10">
        <v>0</v>
      </c>
    </row>
    <row r="445" spans="1:4">
      <c r="A445" s="10" t="s">
        <v>71</v>
      </c>
      <c r="B445" s="10" t="s">
        <v>26</v>
      </c>
      <c r="C445" s="10">
        <v>0</v>
      </c>
      <c r="D445" s="10">
        <v>0</v>
      </c>
    </row>
    <row r="446" spans="1:4">
      <c r="A446" s="10" t="s">
        <v>205</v>
      </c>
      <c r="B446" s="10" t="s">
        <v>116</v>
      </c>
      <c r="C446" s="10">
        <v>0</v>
      </c>
      <c r="D446" s="10">
        <v>0</v>
      </c>
    </row>
    <row r="447" spans="1:4">
      <c r="A447" s="10" t="s">
        <v>591</v>
      </c>
      <c r="B447" s="10" t="s">
        <v>116</v>
      </c>
      <c r="C447" s="10">
        <v>0</v>
      </c>
      <c r="D447" s="10">
        <v>0</v>
      </c>
    </row>
    <row r="448" spans="1:4">
      <c r="A448" s="10" t="s">
        <v>593</v>
      </c>
      <c r="B448" s="10" t="s">
        <v>116</v>
      </c>
      <c r="C448" s="10">
        <v>0</v>
      </c>
      <c r="D448" s="10">
        <v>0</v>
      </c>
    </row>
    <row r="449" spans="1:4">
      <c r="A449" s="10" t="s">
        <v>204</v>
      </c>
      <c r="B449" s="10" t="s">
        <v>116</v>
      </c>
      <c r="C449" s="10">
        <v>0</v>
      </c>
      <c r="D449" s="10">
        <v>0</v>
      </c>
    </row>
    <row r="450" spans="1:4">
      <c r="A450" s="10" t="s">
        <v>203</v>
      </c>
      <c r="B450" s="10" t="s">
        <v>116</v>
      </c>
      <c r="C450" s="10">
        <v>0</v>
      </c>
      <c r="D450" s="10">
        <v>0</v>
      </c>
    </row>
    <row r="451" spans="1:4">
      <c r="A451" s="10" t="s">
        <v>121</v>
      </c>
      <c r="B451" s="10" t="s">
        <v>116</v>
      </c>
      <c r="C451" s="10">
        <v>0</v>
      </c>
      <c r="D451" s="10">
        <v>0</v>
      </c>
    </row>
    <row r="452" spans="1:4">
      <c r="A452" s="10" t="s">
        <v>202</v>
      </c>
      <c r="B452" s="10" t="s">
        <v>116</v>
      </c>
      <c r="C452" s="10">
        <v>0</v>
      </c>
      <c r="D452" s="10">
        <v>0</v>
      </c>
    </row>
    <row r="453" spans="1:4">
      <c r="A453" s="10" t="s">
        <v>122</v>
      </c>
      <c r="B453" s="10" t="s">
        <v>116</v>
      </c>
      <c r="C453" s="10">
        <v>0</v>
      </c>
      <c r="D453" s="10">
        <v>0</v>
      </c>
    </row>
    <row r="454" spans="1:4">
      <c r="A454" s="10" t="s">
        <v>201</v>
      </c>
      <c r="B454" s="10" t="s">
        <v>116</v>
      </c>
      <c r="C454" s="10">
        <v>0</v>
      </c>
      <c r="D454" s="10">
        <v>0</v>
      </c>
    </row>
    <row r="455" spans="1:4">
      <c r="A455" s="10" t="s">
        <v>595</v>
      </c>
      <c r="B455" s="10" t="s">
        <v>116</v>
      </c>
      <c r="C455" s="10">
        <v>0</v>
      </c>
      <c r="D455" s="10">
        <v>0</v>
      </c>
    </row>
    <row r="456" spans="1:4">
      <c r="A456" s="10" t="s">
        <v>200</v>
      </c>
      <c r="B456" s="10" t="s">
        <v>116</v>
      </c>
      <c r="C456" s="10">
        <v>0</v>
      </c>
      <c r="D456" s="10">
        <v>0</v>
      </c>
    </row>
    <row r="457" spans="1:4">
      <c r="A457" s="10" t="s">
        <v>466</v>
      </c>
      <c r="B457" s="10" t="s">
        <v>116</v>
      </c>
      <c r="C457" s="10">
        <v>0</v>
      </c>
      <c r="D457" s="10">
        <v>0</v>
      </c>
    </row>
    <row r="458" spans="1:4">
      <c r="A458" s="10" t="s">
        <v>199</v>
      </c>
      <c r="B458" s="10" t="s">
        <v>116</v>
      </c>
      <c r="C458" s="10">
        <v>0</v>
      </c>
      <c r="D458" s="10">
        <v>0</v>
      </c>
    </row>
    <row r="459" spans="1:4">
      <c r="A459" s="10" t="s">
        <v>596</v>
      </c>
      <c r="B459" s="10" t="s">
        <v>116</v>
      </c>
      <c r="C459" s="10">
        <v>0</v>
      </c>
      <c r="D459" s="10">
        <v>0</v>
      </c>
    </row>
    <row r="460" spans="1:4">
      <c r="A460" s="10" t="s">
        <v>198</v>
      </c>
      <c r="B460" s="10" t="s">
        <v>116</v>
      </c>
      <c r="C460" s="10">
        <v>0</v>
      </c>
      <c r="D460" s="10">
        <v>0</v>
      </c>
    </row>
    <row r="461" spans="1:4">
      <c r="A461" s="10" t="s">
        <v>197</v>
      </c>
      <c r="B461" s="10" t="s">
        <v>116</v>
      </c>
      <c r="C461" s="10">
        <v>0</v>
      </c>
      <c r="D461" s="10">
        <v>0</v>
      </c>
    </row>
    <row r="462" spans="1:4">
      <c r="A462" s="10" t="s">
        <v>597</v>
      </c>
      <c r="B462" s="10" t="s">
        <v>116</v>
      </c>
      <c r="C462" s="10">
        <v>0</v>
      </c>
      <c r="D462" s="10">
        <v>0</v>
      </c>
    </row>
    <row r="463" spans="1:4">
      <c r="A463" s="10" t="s">
        <v>195</v>
      </c>
      <c r="B463" s="10" t="s">
        <v>116</v>
      </c>
      <c r="C463" s="10">
        <v>0</v>
      </c>
      <c r="D463" s="10">
        <v>0</v>
      </c>
    </row>
    <row r="464" spans="1:4">
      <c r="A464" s="10" t="s">
        <v>194</v>
      </c>
      <c r="B464" s="10" t="s">
        <v>116</v>
      </c>
      <c r="C464" s="10">
        <v>0</v>
      </c>
      <c r="D464" s="10">
        <v>0</v>
      </c>
    </row>
    <row r="465" spans="1:4">
      <c r="A465" s="10" t="s">
        <v>168</v>
      </c>
      <c r="B465" s="10" t="s">
        <v>116</v>
      </c>
      <c r="C465" s="10">
        <v>0</v>
      </c>
      <c r="D465" s="10">
        <v>0</v>
      </c>
    </row>
    <row r="466" spans="1:4">
      <c r="A466" s="10" t="s">
        <v>167</v>
      </c>
      <c r="B466" s="10" t="s">
        <v>116</v>
      </c>
      <c r="C466" s="10">
        <v>0</v>
      </c>
      <c r="D466" s="10">
        <v>0</v>
      </c>
    </row>
    <row r="467" spans="1:4">
      <c r="A467" s="10" t="s">
        <v>166</v>
      </c>
      <c r="B467" s="10" t="s">
        <v>116</v>
      </c>
      <c r="C467" s="10">
        <v>0</v>
      </c>
      <c r="D467" s="10">
        <v>0</v>
      </c>
    </row>
    <row r="468" spans="1:4">
      <c r="A468" s="10" t="s">
        <v>150</v>
      </c>
      <c r="B468" s="10" t="s">
        <v>116</v>
      </c>
      <c r="C468" s="10">
        <v>0</v>
      </c>
      <c r="D468" s="10">
        <v>0</v>
      </c>
    </row>
    <row r="469" spans="1:4">
      <c r="A469" s="10" t="s">
        <v>165</v>
      </c>
      <c r="B469" s="10" t="s">
        <v>116</v>
      </c>
      <c r="C469" s="10">
        <v>0</v>
      </c>
      <c r="D469" s="10">
        <v>0</v>
      </c>
    </row>
    <row r="470" spans="1:4">
      <c r="A470" s="10" t="s">
        <v>148</v>
      </c>
      <c r="B470" s="10" t="s">
        <v>116</v>
      </c>
      <c r="C470" s="10">
        <v>0</v>
      </c>
      <c r="D470" s="10">
        <v>0</v>
      </c>
    </row>
    <row r="471" spans="1:4">
      <c r="A471" s="10" t="s">
        <v>598</v>
      </c>
      <c r="B471" s="10" t="s">
        <v>116</v>
      </c>
      <c r="C471" s="10">
        <v>0</v>
      </c>
      <c r="D471" s="10">
        <v>0</v>
      </c>
    </row>
    <row r="472" spans="1:4">
      <c r="A472" s="10" t="s">
        <v>599</v>
      </c>
      <c r="B472" s="10" t="s">
        <v>212</v>
      </c>
      <c r="C472" s="10">
        <v>0</v>
      </c>
      <c r="D472" s="10">
        <v>0</v>
      </c>
    </row>
    <row r="473" spans="1:4">
      <c r="A473" s="10" t="s">
        <v>440</v>
      </c>
      <c r="B473" s="10" t="s">
        <v>212</v>
      </c>
      <c r="C473" s="10">
        <v>0</v>
      </c>
      <c r="D473" s="10">
        <v>0</v>
      </c>
    </row>
    <row r="474" spans="1:4">
      <c r="A474" s="10" t="s">
        <v>353</v>
      </c>
      <c r="B474" s="10" t="s">
        <v>212</v>
      </c>
      <c r="C474" s="10">
        <v>0</v>
      </c>
      <c r="D474" s="10">
        <v>0</v>
      </c>
    </row>
    <row r="475" spans="1:4">
      <c r="A475" s="10" t="s">
        <v>433</v>
      </c>
      <c r="B475" s="10" t="s">
        <v>212</v>
      </c>
      <c r="C475" s="10">
        <v>0</v>
      </c>
      <c r="D475" s="10">
        <v>0</v>
      </c>
    </row>
    <row r="476" spans="1:4">
      <c r="A476" s="10" t="s">
        <v>249</v>
      </c>
      <c r="B476" s="10" t="s">
        <v>212</v>
      </c>
      <c r="C476" s="10">
        <v>0</v>
      </c>
      <c r="D476" s="10">
        <v>0</v>
      </c>
    </row>
    <row r="477" spans="1:4">
      <c r="A477" s="10" t="s">
        <v>503</v>
      </c>
      <c r="B477" s="10" t="s">
        <v>212</v>
      </c>
      <c r="C477" s="10">
        <v>0</v>
      </c>
      <c r="D477" s="10">
        <v>0</v>
      </c>
    </row>
    <row r="478" spans="1:4">
      <c r="A478" s="10" t="s">
        <v>600</v>
      </c>
      <c r="B478" s="10" t="s">
        <v>212</v>
      </c>
      <c r="C478" s="10">
        <v>0</v>
      </c>
      <c r="D478" s="10">
        <v>0</v>
      </c>
    </row>
    <row r="479" spans="1:4">
      <c r="A479" s="10" t="s">
        <v>601</v>
      </c>
      <c r="B479" s="10" t="s">
        <v>212</v>
      </c>
      <c r="C479" s="10">
        <v>0</v>
      </c>
      <c r="D479" s="10">
        <v>0</v>
      </c>
    </row>
    <row r="480" spans="1:4">
      <c r="A480" s="10" t="s">
        <v>502</v>
      </c>
      <c r="B480" s="10" t="s">
        <v>212</v>
      </c>
      <c r="C480" s="10">
        <v>0</v>
      </c>
      <c r="D480" s="10">
        <v>0</v>
      </c>
    </row>
    <row r="481" spans="1:4">
      <c r="A481" s="10" t="s">
        <v>352</v>
      </c>
      <c r="B481" s="10" t="s">
        <v>212</v>
      </c>
      <c r="C481" s="10">
        <v>0</v>
      </c>
      <c r="D481" s="10">
        <v>0</v>
      </c>
    </row>
    <row r="482" spans="1:4">
      <c r="A482" s="10" t="s">
        <v>42</v>
      </c>
      <c r="B482" s="10" t="s">
        <v>212</v>
      </c>
      <c r="C482" s="10">
        <v>0</v>
      </c>
      <c r="D482" s="10">
        <v>0</v>
      </c>
    </row>
    <row r="483" spans="1:4">
      <c r="A483" s="10" t="s">
        <v>426</v>
      </c>
      <c r="B483" s="10" t="s">
        <v>212</v>
      </c>
      <c r="C483" s="10">
        <v>0</v>
      </c>
      <c r="D483" s="10">
        <v>0</v>
      </c>
    </row>
    <row r="484" spans="1:4">
      <c r="A484" s="10" t="s">
        <v>602</v>
      </c>
      <c r="B484" s="10" t="s">
        <v>212</v>
      </c>
      <c r="C484" s="10">
        <v>0</v>
      </c>
      <c r="D484" s="10">
        <v>0</v>
      </c>
    </row>
    <row r="485" spans="1:4">
      <c r="A485" s="10" t="s">
        <v>402</v>
      </c>
      <c r="B485" s="10" t="s">
        <v>212</v>
      </c>
      <c r="C485" s="10">
        <v>0</v>
      </c>
      <c r="D485" s="10">
        <v>0</v>
      </c>
    </row>
    <row r="486" spans="1:4">
      <c r="A486" s="10" t="s">
        <v>603</v>
      </c>
      <c r="B486" s="10" t="s">
        <v>212</v>
      </c>
      <c r="C486" s="10">
        <v>0</v>
      </c>
      <c r="D486" s="10">
        <v>0</v>
      </c>
    </row>
    <row r="487" spans="1:4">
      <c r="A487" s="10" t="s">
        <v>604</v>
      </c>
      <c r="B487" s="10" t="s">
        <v>212</v>
      </c>
      <c r="C487" s="10">
        <v>0</v>
      </c>
      <c r="D487" s="10">
        <v>0</v>
      </c>
    </row>
    <row r="488" spans="1:4">
      <c r="A488" s="10" t="s">
        <v>269</v>
      </c>
      <c r="B488" s="10" t="s">
        <v>212</v>
      </c>
      <c r="C488" s="10">
        <v>0</v>
      </c>
      <c r="D488" s="10">
        <v>0</v>
      </c>
    </row>
    <row r="489" spans="1:4">
      <c r="A489" s="10" t="s">
        <v>268</v>
      </c>
      <c r="B489" s="10" t="s">
        <v>212</v>
      </c>
      <c r="C489" s="10">
        <v>0</v>
      </c>
      <c r="D489" s="10">
        <v>0</v>
      </c>
    </row>
    <row r="490" spans="1:4">
      <c r="A490" s="10" t="s">
        <v>267</v>
      </c>
      <c r="B490" s="10" t="s">
        <v>212</v>
      </c>
      <c r="C490" s="10">
        <v>0</v>
      </c>
      <c r="D490" s="10">
        <v>0</v>
      </c>
    </row>
    <row r="491" spans="1:4">
      <c r="A491" s="10" t="s">
        <v>445</v>
      </c>
      <c r="B491" s="10" t="s">
        <v>212</v>
      </c>
      <c r="C491" s="10">
        <v>0</v>
      </c>
      <c r="D491" s="10">
        <v>0</v>
      </c>
    </row>
    <row r="492" spans="1:4">
      <c r="A492" s="10" t="s">
        <v>605</v>
      </c>
      <c r="B492" s="10" t="s">
        <v>212</v>
      </c>
      <c r="C492" s="10">
        <v>0</v>
      </c>
      <c r="D492" s="10">
        <v>0</v>
      </c>
    </row>
    <row r="493" spans="1:4">
      <c r="A493" s="10" t="s">
        <v>606</v>
      </c>
      <c r="B493" s="10" t="s">
        <v>212</v>
      </c>
      <c r="C493" s="10">
        <v>0</v>
      </c>
      <c r="D493" s="10">
        <v>0</v>
      </c>
    </row>
    <row r="494" spans="1:4">
      <c r="A494" s="10" t="s">
        <v>266</v>
      </c>
      <c r="B494" s="10" t="s">
        <v>212</v>
      </c>
      <c r="C494" s="10">
        <v>0</v>
      </c>
      <c r="D494" s="10">
        <v>0</v>
      </c>
    </row>
    <row r="495" spans="1:4">
      <c r="A495" s="10" t="s">
        <v>210</v>
      </c>
      <c r="B495" s="10" t="s">
        <v>116</v>
      </c>
      <c r="C495" s="10">
        <v>0</v>
      </c>
      <c r="D495" s="10">
        <v>0</v>
      </c>
    </row>
    <row r="496" spans="1:4">
      <c r="A496" s="10" t="s">
        <v>209</v>
      </c>
      <c r="B496" s="10" t="s">
        <v>116</v>
      </c>
      <c r="C496" s="10">
        <v>0</v>
      </c>
      <c r="D496" s="10">
        <v>0</v>
      </c>
    </row>
    <row r="497" spans="1:4">
      <c r="A497" s="10" t="s">
        <v>208</v>
      </c>
      <c r="B497" s="10" t="s">
        <v>116</v>
      </c>
      <c r="C497" s="10">
        <v>0</v>
      </c>
      <c r="D497" s="10">
        <v>0</v>
      </c>
    </row>
    <row r="498" spans="1:4">
      <c r="A498" s="10" t="s">
        <v>207</v>
      </c>
      <c r="B498" s="10" t="s">
        <v>116</v>
      </c>
      <c r="C498" s="10">
        <v>0</v>
      </c>
      <c r="D498" s="10">
        <v>0</v>
      </c>
    </row>
    <row r="499" spans="1:4">
      <c r="A499" s="10" t="s">
        <v>607</v>
      </c>
      <c r="B499" s="10" t="s">
        <v>116</v>
      </c>
      <c r="C499" s="10">
        <v>0</v>
      </c>
      <c r="D499" s="10">
        <v>0</v>
      </c>
    </row>
    <row r="500" spans="1:4">
      <c r="A500" s="10" t="s">
        <v>206</v>
      </c>
      <c r="B500" s="10" t="s">
        <v>116</v>
      </c>
      <c r="C500" s="10">
        <v>0</v>
      </c>
      <c r="D500" s="10">
        <v>0</v>
      </c>
    </row>
    <row r="501" spans="1:4">
      <c r="A501" s="10" t="s">
        <v>401</v>
      </c>
      <c r="B501" s="10" t="s">
        <v>116</v>
      </c>
      <c r="C501" s="10">
        <v>0</v>
      </c>
      <c r="D501" s="10">
        <v>0</v>
      </c>
    </row>
    <row r="502" spans="1:4">
      <c r="A502" s="10" t="s">
        <v>608</v>
      </c>
      <c r="B502" s="10" t="s">
        <v>116</v>
      </c>
      <c r="C502" s="10">
        <v>0</v>
      </c>
      <c r="D502" s="10">
        <v>0</v>
      </c>
    </row>
    <row r="503" spans="1:4">
      <c r="A503" s="10" t="s">
        <v>145</v>
      </c>
      <c r="B503" s="10" t="s">
        <v>116</v>
      </c>
      <c r="C503" s="10">
        <v>0</v>
      </c>
      <c r="D503" s="10">
        <v>0</v>
      </c>
    </row>
    <row r="504" spans="1:4">
      <c r="A504" s="10" t="s">
        <v>187</v>
      </c>
      <c r="B504" s="10" t="s">
        <v>116</v>
      </c>
      <c r="C504" s="10">
        <v>0</v>
      </c>
      <c r="D504" s="10">
        <v>0</v>
      </c>
    </row>
    <row r="505" spans="1:4">
      <c r="A505" s="10" t="s">
        <v>186</v>
      </c>
      <c r="B505" s="10" t="s">
        <v>116</v>
      </c>
      <c r="C505" s="10">
        <v>0</v>
      </c>
      <c r="D505" s="10">
        <v>0</v>
      </c>
    </row>
    <row r="506" spans="1:4">
      <c r="A506" s="10" t="s">
        <v>185</v>
      </c>
      <c r="B506" s="10" t="s">
        <v>116</v>
      </c>
      <c r="C506" s="10">
        <v>0</v>
      </c>
      <c r="D506" s="10">
        <v>0</v>
      </c>
    </row>
    <row r="507" spans="1:4">
      <c r="A507" s="10" t="s">
        <v>355</v>
      </c>
      <c r="B507" s="10" t="s">
        <v>116</v>
      </c>
      <c r="C507" s="10">
        <v>0</v>
      </c>
      <c r="D507" s="10">
        <v>0</v>
      </c>
    </row>
    <row r="508" spans="1:4">
      <c r="A508" s="10" t="s">
        <v>184</v>
      </c>
      <c r="B508" s="10" t="s">
        <v>116</v>
      </c>
      <c r="C508" s="10">
        <v>0</v>
      </c>
      <c r="D508" s="10">
        <v>0</v>
      </c>
    </row>
    <row r="509" spans="1:4">
      <c r="A509" s="10" t="s">
        <v>183</v>
      </c>
      <c r="B509" s="10" t="s">
        <v>116</v>
      </c>
      <c r="C509" s="10">
        <v>0</v>
      </c>
      <c r="D509" s="10">
        <v>0</v>
      </c>
    </row>
    <row r="510" spans="1:4">
      <c r="A510" s="10" t="s">
        <v>497</v>
      </c>
      <c r="B510" s="10" t="s">
        <v>116</v>
      </c>
      <c r="C510" s="10">
        <v>0</v>
      </c>
      <c r="D510" s="10">
        <v>0</v>
      </c>
    </row>
    <row r="511" spans="1:4">
      <c r="A511" s="10" t="s">
        <v>349</v>
      </c>
      <c r="B511" s="10" t="s">
        <v>116</v>
      </c>
      <c r="C511" s="10">
        <v>0</v>
      </c>
      <c r="D511" s="10">
        <v>0</v>
      </c>
    </row>
    <row r="512" spans="1:4">
      <c r="A512" s="10" t="s">
        <v>182</v>
      </c>
      <c r="B512" s="10" t="s">
        <v>116</v>
      </c>
      <c r="C512" s="10">
        <v>0</v>
      </c>
      <c r="D512" s="10">
        <v>0</v>
      </c>
    </row>
    <row r="513" spans="1:4">
      <c r="A513" s="10" t="s">
        <v>181</v>
      </c>
      <c r="B513" s="10" t="s">
        <v>116</v>
      </c>
      <c r="C513" s="10">
        <v>0</v>
      </c>
      <c r="D513" s="10">
        <v>0</v>
      </c>
    </row>
    <row r="514" spans="1:4">
      <c r="A514" s="10" t="s">
        <v>180</v>
      </c>
      <c r="B514" s="10" t="s">
        <v>116</v>
      </c>
      <c r="C514" s="10">
        <v>0</v>
      </c>
      <c r="D514" s="10">
        <v>0</v>
      </c>
    </row>
    <row r="515" spans="1:4">
      <c r="A515" s="10" t="s">
        <v>179</v>
      </c>
      <c r="B515" s="10" t="s">
        <v>116</v>
      </c>
      <c r="C515" s="10">
        <v>0</v>
      </c>
      <c r="D515" s="10">
        <v>0</v>
      </c>
    </row>
    <row r="516" spans="1:4">
      <c r="A516" s="10" t="s">
        <v>609</v>
      </c>
      <c r="B516" s="10" t="s">
        <v>116</v>
      </c>
      <c r="C516" s="10">
        <v>0</v>
      </c>
      <c r="D516" s="10">
        <v>0</v>
      </c>
    </row>
    <row r="517" spans="1:4">
      <c r="A517" s="10" t="s">
        <v>432</v>
      </c>
      <c r="B517" s="10" t="s">
        <v>116</v>
      </c>
      <c r="C517" s="10">
        <v>0</v>
      </c>
      <c r="D517" s="10">
        <v>0</v>
      </c>
    </row>
    <row r="518" spans="1:4">
      <c r="A518" s="10" t="s">
        <v>178</v>
      </c>
      <c r="B518" s="10" t="s">
        <v>116</v>
      </c>
      <c r="C518" s="10">
        <v>0</v>
      </c>
      <c r="D518" s="10">
        <v>0</v>
      </c>
    </row>
    <row r="519" spans="1:4">
      <c r="A519" s="10" t="s">
        <v>177</v>
      </c>
      <c r="B519" s="10" t="s">
        <v>116</v>
      </c>
      <c r="C519" s="10">
        <v>0</v>
      </c>
      <c r="D519" s="10">
        <v>0</v>
      </c>
    </row>
    <row r="520" spans="1:4">
      <c r="A520" s="10" t="s">
        <v>398</v>
      </c>
      <c r="B520" s="10" t="s">
        <v>116</v>
      </c>
      <c r="C520" s="10">
        <v>0</v>
      </c>
      <c r="D520" s="10">
        <v>0</v>
      </c>
    </row>
    <row r="521" spans="1:4">
      <c r="A521" s="10" t="s">
        <v>498</v>
      </c>
      <c r="B521" s="10" t="s">
        <v>116</v>
      </c>
      <c r="C521" s="10">
        <v>0</v>
      </c>
      <c r="D521" s="10">
        <v>0</v>
      </c>
    </row>
    <row r="522" spans="1:4">
      <c r="A522" s="10" t="s">
        <v>610</v>
      </c>
      <c r="B522" s="10" t="s">
        <v>116</v>
      </c>
      <c r="C522" s="10">
        <v>0</v>
      </c>
      <c r="D522" s="10">
        <v>0</v>
      </c>
    </row>
    <row r="523" spans="1:4">
      <c r="A523" s="10" t="s">
        <v>176</v>
      </c>
      <c r="B523" s="10" t="s">
        <v>116</v>
      </c>
      <c r="C523" s="10">
        <v>0</v>
      </c>
      <c r="D523" s="10">
        <v>0</v>
      </c>
    </row>
    <row r="524" spans="1:4">
      <c r="A524" s="10" t="s">
        <v>144</v>
      </c>
      <c r="B524" s="10" t="s">
        <v>116</v>
      </c>
      <c r="C524" s="10">
        <v>0</v>
      </c>
      <c r="D524" s="10">
        <v>0</v>
      </c>
    </row>
    <row r="525" spans="1:4">
      <c r="A525" s="10" t="s">
        <v>611</v>
      </c>
      <c r="B525" s="10" t="s">
        <v>116</v>
      </c>
      <c r="C525" s="10">
        <v>0</v>
      </c>
      <c r="D525" s="10">
        <v>0</v>
      </c>
    </row>
    <row r="526" spans="1:4">
      <c r="A526" s="10" t="s">
        <v>175</v>
      </c>
      <c r="B526" s="10" t="s">
        <v>116</v>
      </c>
      <c r="C526" s="10">
        <v>0</v>
      </c>
      <c r="D526" s="10">
        <v>0</v>
      </c>
    </row>
    <row r="527" spans="1:4">
      <c r="A527" s="10" t="s">
        <v>174</v>
      </c>
      <c r="B527" s="10" t="s">
        <v>116</v>
      </c>
      <c r="C527" s="10">
        <v>0</v>
      </c>
      <c r="D527" s="10">
        <v>0</v>
      </c>
    </row>
    <row r="528" spans="1:4">
      <c r="A528" s="10" t="s">
        <v>172</v>
      </c>
      <c r="B528" s="10" t="s">
        <v>116</v>
      </c>
      <c r="C528" s="10">
        <v>0</v>
      </c>
      <c r="D528" s="10">
        <v>0</v>
      </c>
    </row>
    <row r="529" spans="1:4">
      <c r="A529" s="10" t="s">
        <v>132</v>
      </c>
      <c r="B529" s="10" t="s">
        <v>116</v>
      </c>
      <c r="C529" s="10">
        <v>0</v>
      </c>
      <c r="D529" s="10">
        <v>0</v>
      </c>
    </row>
    <row r="530" spans="1:4">
      <c r="A530" s="10" t="s">
        <v>170</v>
      </c>
      <c r="B530" s="10" t="s">
        <v>116</v>
      </c>
      <c r="C530" s="10">
        <v>0</v>
      </c>
      <c r="D530" s="10">
        <v>0</v>
      </c>
    </row>
    <row r="531" spans="1:4">
      <c r="A531" s="10" t="s">
        <v>612</v>
      </c>
      <c r="B531" s="10" t="s">
        <v>116</v>
      </c>
      <c r="C531" s="10">
        <v>0</v>
      </c>
      <c r="D531" s="10">
        <v>0</v>
      </c>
    </row>
    <row r="532" spans="1:4">
      <c r="A532" s="10" t="s">
        <v>138</v>
      </c>
      <c r="B532" s="10" t="s">
        <v>116</v>
      </c>
      <c r="C532" s="10">
        <v>0</v>
      </c>
      <c r="D532" s="10">
        <v>0</v>
      </c>
    </row>
    <row r="533" spans="1:4">
      <c r="A533" s="10" t="s">
        <v>164</v>
      </c>
      <c r="B533" s="10" t="s">
        <v>116</v>
      </c>
      <c r="C533" s="10">
        <v>0</v>
      </c>
      <c r="D533" s="10">
        <v>0</v>
      </c>
    </row>
    <row r="534" spans="1:4">
      <c r="A534" s="10" t="s">
        <v>163</v>
      </c>
      <c r="B534" s="10" t="s">
        <v>116</v>
      </c>
      <c r="C534" s="10">
        <v>0</v>
      </c>
      <c r="D534" s="10">
        <v>0</v>
      </c>
    </row>
    <row r="535" spans="1:4">
      <c r="A535" s="10" t="s">
        <v>162</v>
      </c>
      <c r="B535" s="10" t="s">
        <v>116</v>
      </c>
      <c r="C535" s="10">
        <v>0</v>
      </c>
      <c r="D535" s="10">
        <v>0</v>
      </c>
    </row>
    <row r="536" spans="1:4">
      <c r="A536" s="10" t="s">
        <v>161</v>
      </c>
      <c r="B536" s="10" t="s">
        <v>116</v>
      </c>
      <c r="C536" s="10">
        <v>0</v>
      </c>
      <c r="D536" s="10">
        <v>0</v>
      </c>
    </row>
    <row r="537" spans="1:4">
      <c r="A537" s="10" t="s">
        <v>160</v>
      </c>
      <c r="B537" s="10" t="s">
        <v>116</v>
      </c>
      <c r="C537" s="10">
        <v>0</v>
      </c>
      <c r="D537" s="10">
        <v>0</v>
      </c>
    </row>
    <row r="538" spans="1:4">
      <c r="A538" s="10" t="s">
        <v>613</v>
      </c>
      <c r="B538" s="10" t="s">
        <v>116</v>
      </c>
      <c r="C538" s="10">
        <v>0</v>
      </c>
      <c r="D538" s="10">
        <v>0</v>
      </c>
    </row>
    <row r="539" spans="1:4">
      <c r="A539" s="10" t="s">
        <v>614</v>
      </c>
      <c r="B539" s="10" t="s">
        <v>116</v>
      </c>
      <c r="C539" s="10">
        <v>0</v>
      </c>
      <c r="D539" s="10">
        <v>0</v>
      </c>
    </row>
    <row r="540" spans="1:4">
      <c r="A540" s="10" t="s">
        <v>159</v>
      </c>
      <c r="B540" s="10" t="s">
        <v>116</v>
      </c>
      <c r="C540" s="10">
        <v>0</v>
      </c>
      <c r="D540" s="10">
        <v>0</v>
      </c>
    </row>
    <row r="541" spans="1:4">
      <c r="A541" s="10" t="s">
        <v>158</v>
      </c>
      <c r="B541" s="10" t="s">
        <v>116</v>
      </c>
      <c r="C541" s="10">
        <v>0</v>
      </c>
      <c r="D541" s="10">
        <v>0</v>
      </c>
    </row>
    <row r="542" spans="1:4">
      <c r="A542" s="10" t="s">
        <v>615</v>
      </c>
      <c r="B542" s="10" t="s">
        <v>116</v>
      </c>
      <c r="C542" s="10">
        <v>0</v>
      </c>
      <c r="D542" s="10">
        <v>0</v>
      </c>
    </row>
    <row r="543" spans="1:4">
      <c r="A543" s="10" t="s">
        <v>157</v>
      </c>
      <c r="B543" s="10" t="s">
        <v>116</v>
      </c>
      <c r="C543" s="10">
        <v>0</v>
      </c>
      <c r="D543" s="10">
        <v>0</v>
      </c>
    </row>
    <row r="544" spans="1:4">
      <c r="A544" s="10" t="s">
        <v>156</v>
      </c>
      <c r="B544" s="10" t="s">
        <v>116</v>
      </c>
      <c r="C544" s="10">
        <v>0</v>
      </c>
      <c r="D544" s="10">
        <v>0</v>
      </c>
    </row>
    <row r="545" spans="1:4">
      <c r="A545" s="10" t="s">
        <v>155</v>
      </c>
      <c r="B545" s="10" t="s">
        <v>116</v>
      </c>
      <c r="C545" s="10">
        <v>0</v>
      </c>
      <c r="D545" s="10">
        <v>0</v>
      </c>
    </row>
    <row r="546" spans="1:4">
      <c r="A546" s="10" t="s">
        <v>154</v>
      </c>
      <c r="B546" s="10" t="s">
        <v>116</v>
      </c>
      <c r="C546" s="10">
        <v>0</v>
      </c>
      <c r="D546" s="10">
        <v>0</v>
      </c>
    </row>
    <row r="547" spans="1:4">
      <c r="A547" s="10" t="s">
        <v>117</v>
      </c>
      <c r="B547" s="10" t="s">
        <v>116</v>
      </c>
      <c r="C547" s="10">
        <v>0</v>
      </c>
      <c r="D547" s="10">
        <v>0</v>
      </c>
    </row>
    <row r="548" spans="1:4">
      <c r="A548" s="10" t="s">
        <v>616</v>
      </c>
      <c r="B548" s="10" t="s">
        <v>116</v>
      </c>
      <c r="C548" s="10">
        <v>0</v>
      </c>
      <c r="D548" s="10">
        <v>0</v>
      </c>
    </row>
    <row r="549" spans="1:4">
      <c r="A549" s="10" t="s">
        <v>153</v>
      </c>
      <c r="B549" s="10" t="s">
        <v>116</v>
      </c>
      <c r="C549" s="10">
        <v>0</v>
      </c>
      <c r="D549" s="10">
        <v>0</v>
      </c>
    </row>
    <row r="550" spans="1:4">
      <c r="A550" s="10" t="s">
        <v>152</v>
      </c>
      <c r="B550" s="10" t="s">
        <v>116</v>
      </c>
      <c r="C550" s="10">
        <v>0</v>
      </c>
      <c r="D550" s="10">
        <v>0</v>
      </c>
    </row>
    <row r="551" spans="1:4">
      <c r="A551" s="10" t="s">
        <v>151</v>
      </c>
      <c r="B551" s="10" t="s">
        <v>116</v>
      </c>
      <c r="C551" s="10">
        <v>0</v>
      </c>
      <c r="D551" s="10">
        <v>0</v>
      </c>
    </row>
    <row r="552" spans="1:4">
      <c r="A552" s="10" t="s">
        <v>193</v>
      </c>
      <c r="B552" s="10" t="s">
        <v>116</v>
      </c>
      <c r="C552" s="10">
        <v>0</v>
      </c>
      <c r="D552" s="10">
        <v>0</v>
      </c>
    </row>
    <row r="553" spans="1:4">
      <c r="A553" s="10" t="s">
        <v>427</v>
      </c>
      <c r="B553" s="10" t="s">
        <v>116</v>
      </c>
      <c r="C553" s="10">
        <v>0</v>
      </c>
      <c r="D553" s="10">
        <v>0</v>
      </c>
    </row>
    <row r="554" spans="1:4">
      <c r="A554" s="10" t="s">
        <v>190</v>
      </c>
      <c r="B554" s="10" t="s">
        <v>116</v>
      </c>
      <c r="C554" s="10">
        <v>0</v>
      </c>
      <c r="D554" s="10">
        <v>0</v>
      </c>
    </row>
    <row r="555" spans="1:4">
      <c r="A555" s="10" t="s">
        <v>143</v>
      </c>
      <c r="B555" s="10" t="s">
        <v>116</v>
      </c>
      <c r="C555" s="10">
        <v>0</v>
      </c>
      <c r="D555" s="10">
        <v>0</v>
      </c>
    </row>
    <row r="556" spans="1:4">
      <c r="A556" s="10" t="s">
        <v>115</v>
      </c>
      <c r="B556" s="10" t="s">
        <v>116</v>
      </c>
      <c r="C556" s="10">
        <v>0</v>
      </c>
      <c r="D556" s="10">
        <v>0</v>
      </c>
    </row>
    <row r="557" spans="1:4">
      <c r="A557" s="10" t="s">
        <v>486</v>
      </c>
      <c r="B557" s="10" t="s">
        <v>116</v>
      </c>
      <c r="C557" s="10">
        <v>0</v>
      </c>
      <c r="D557" s="10">
        <v>0</v>
      </c>
    </row>
    <row r="558" spans="1:4">
      <c r="A558" s="10" t="s">
        <v>189</v>
      </c>
      <c r="B558" s="10" t="s">
        <v>116</v>
      </c>
      <c r="C558" s="10">
        <v>0</v>
      </c>
      <c r="D558" s="10">
        <v>0</v>
      </c>
    </row>
    <row r="559" spans="1:4">
      <c r="A559" s="10" t="s">
        <v>188</v>
      </c>
      <c r="B559" s="10" t="s">
        <v>116</v>
      </c>
      <c r="C559" s="10">
        <v>0</v>
      </c>
      <c r="D559" s="10">
        <v>0</v>
      </c>
    </row>
    <row r="560" spans="1:4">
      <c r="A560" s="10" t="s">
        <v>617</v>
      </c>
      <c r="B560" s="10" t="s">
        <v>116</v>
      </c>
      <c r="C560" s="10">
        <v>0</v>
      </c>
      <c r="D560" s="10">
        <v>0</v>
      </c>
    </row>
  </sheetData>
  <autoFilter ref="A1:D560"/>
  <sortState ref="A2:D560">
    <sortCondition descending="1" ref="D1"/>
  </sortState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600"/>
  <sheetViews>
    <sheetView workbookViewId="0">
      <selection activeCell="I22" sqref="I22"/>
    </sheetView>
  </sheetViews>
  <sheetFormatPr defaultRowHeight="15"/>
  <cols>
    <col min="1" max="1" width="16.140625" style="9" customWidth="1"/>
    <col min="2" max="16384" width="9.140625" style="9"/>
  </cols>
  <sheetData>
    <row r="1" spans="1:2">
      <c r="A1" s="9" t="s">
        <v>41</v>
      </c>
      <c r="B1" s="9">
        <v>89</v>
      </c>
    </row>
    <row r="2" spans="1:2">
      <c r="A2" s="9" t="s">
        <v>358</v>
      </c>
      <c r="B2" s="9">
        <v>13</v>
      </c>
    </row>
    <row r="3" spans="1:2">
      <c r="A3" s="9" t="s">
        <v>478</v>
      </c>
      <c r="B3" s="9">
        <v>44</v>
      </c>
    </row>
    <row r="4" spans="1:2">
      <c r="A4" s="9" t="s">
        <v>28</v>
      </c>
      <c r="B4" s="9">
        <v>272</v>
      </c>
    </row>
    <row r="5" spans="1:2">
      <c r="A5" s="9" t="s">
        <v>38</v>
      </c>
      <c r="B5" s="9">
        <v>12</v>
      </c>
    </row>
    <row r="6" spans="1:2">
      <c r="A6" s="9" t="s">
        <v>618</v>
      </c>
      <c r="B6" s="9">
        <v>27</v>
      </c>
    </row>
    <row r="7" spans="1:2">
      <c r="A7" s="9" t="s">
        <v>40</v>
      </c>
      <c r="B7" s="9">
        <v>17</v>
      </c>
    </row>
    <row r="8" spans="1:2">
      <c r="A8" s="9" t="s">
        <v>43</v>
      </c>
      <c r="B8" s="9">
        <v>19</v>
      </c>
    </row>
    <row r="9" spans="1:2">
      <c r="A9" s="9" t="s">
        <v>506</v>
      </c>
      <c r="B9" s="9">
        <v>45</v>
      </c>
    </row>
    <row r="10" spans="1:2">
      <c r="A10" s="9" t="s">
        <v>32</v>
      </c>
      <c r="B10" s="9">
        <v>49</v>
      </c>
    </row>
    <row r="11" spans="1:2">
      <c r="A11" s="9" t="s">
        <v>36</v>
      </c>
      <c r="B11" s="9">
        <v>1</v>
      </c>
    </row>
    <row r="12" spans="1:2">
      <c r="A12" s="9" t="s">
        <v>30</v>
      </c>
      <c r="B12" s="9">
        <v>1</v>
      </c>
    </row>
    <row r="13" spans="1:2">
      <c r="A13" s="9" t="s">
        <v>272</v>
      </c>
      <c r="B13" s="9">
        <v>5</v>
      </c>
    </row>
    <row r="14" spans="1:2">
      <c r="A14" s="9" t="s">
        <v>33</v>
      </c>
      <c r="B14" s="9">
        <v>40</v>
      </c>
    </row>
    <row r="15" spans="1:2">
      <c r="A15" s="9" t="s">
        <v>573</v>
      </c>
      <c r="B15" s="9">
        <v>37</v>
      </c>
    </row>
    <row r="16" spans="1:2">
      <c r="A16" s="9" t="s">
        <v>283</v>
      </c>
      <c r="B16" s="9">
        <v>37</v>
      </c>
    </row>
    <row r="17" spans="1:2">
      <c r="A17" s="9" t="s">
        <v>484</v>
      </c>
      <c r="B17" s="9">
        <v>0</v>
      </c>
    </row>
    <row r="18" spans="1:2">
      <c r="A18" s="9" t="s">
        <v>58</v>
      </c>
      <c r="B18" s="9">
        <v>36</v>
      </c>
    </row>
    <row r="19" spans="1:2">
      <c r="A19" s="9" t="s">
        <v>49</v>
      </c>
      <c r="B19" s="9">
        <v>325</v>
      </c>
    </row>
    <row r="20" spans="1:2">
      <c r="A20" s="9" t="s">
        <v>410</v>
      </c>
      <c r="B20" s="9">
        <v>21</v>
      </c>
    </row>
    <row r="21" spans="1:2">
      <c r="A21" s="9" t="s">
        <v>274</v>
      </c>
      <c r="B21" s="9">
        <v>18</v>
      </c>
    </row>
    <row r="22" spans="1:2">
      <c r="A22" s="9" t="s">
        <v>45</v>
      </c>
      <c r="B22" s="9">
        <v>40</v>
      </c>
    </row>
    <row r="23" spans="1:2">
      <c r="A23" s="9" t="s">
        <v>444</v>
      </c>
      <c r="B23" s="9">
        <v>42</v>
      </c>
    </row>
    <row r="24" spans="1:2">
      <c r="A24" s="9" t="s">
        <v>389</v>
      </c>
      <c r="B24" s="9">
        <v>110</v>
      </c>
    </row>
    <row r="25" spans="1:2">
      <c r="A25" s="9" t="s">
        <v>34</v>
      </c>
      <c r="B25" s="9">
        <v>28</v>
      </c>
    </row>
    <row r="26" spans="1:2">
      <c r="A26" s="9" t="s">
        <v>512</v>
      </c>
      <c r="B26" s="9">
        <v>38</v>
      </c>
    </row>
    <row r="27" spans="1:2">
      <c r="A27" s="9" t="s">
        <v>27</v>
      </c>
      <c r="B27" s="9">
        <v>6</v>
      </c>
    </row>
    <row r="28" spans="1:2">
      <c r="A28" s="9" t="s">
        <v>44</v>
      </c>
      <c r="B28" s="9">
        <v>4</v>
      </c>
    </row>
    <row r="29" spans="1:2">
      <c r="A29" s="9" t="s">
        <v>341</v>
      </c>
      <c r="B29" s="9">
        <v>28</v>
      </c>
    </row>
    <row r="30" spans="1:2">
      <c r="A30" s="9" t="s">
        <v>485</v>
      </c>
      <c r="B30" s="9">
        <v>36</v>
      </c>
    </row>
    <row r="31" spans="1:2">
      <c r="A31" s="9" t="s">
        <v>273</v>
      </c>
      <c r="B31" s="9">
        <v>14</v>
      </c>
    </row>
    <row r="32" spans="1:2">
      <c r="A32" s="9" t="s">
        <v>31</v>
      </c>
      <c r="B32" s="9">
        <v>7</v>
      </c>
    </row>
    <row r="33" spans="1:2">
      <c r="A33" s="9" t="s">
        <v>494</v>
      </c>
      <c r="B33" s="9">
        <v>6</v>
      </c>
    </row>
    <row r="34" spans="1:2">
      <c r="A34" s="9" t="s">
        <v>129</v>
      </c>
      <c r="B34" s="9">
        <v>47</v>
      </c>
    </row>
    <row r="35" spans="1:2">
      <c r="A35" s="9" t="s">
        <v>216</v>
      </c>
      <c r="B35" s="9">
        <v>26</v>
      </c>
    </row>
    <row r="36" spans="1:2">
      <c r="A36" s="9" t="s">
        <v>123</v>
      </c>
      <c r="B36" s="9">
        <v>2</v>
      </c>
    </row>
    <row r="37" spans="1:2">
      <c r="A37" s="9" t="s">
        <v>480</v>
      </c>
      <c r="B37" s="9">
        <v>39</v>
      </c>
    </row>
    <row r="38" spans="1:2">
      <c r="A38" s="9" t="s">
        <v>137</v>
      </c>
      <c r="B38" s="9">
        <v>297</v>
      </c>
    </row>
    <row r="39" spans="1:2">
      <c r="A39" s="9" t="s">
        <v>482</v>
      </c>
      <c r="B39" s="9">
        <v>18</v>
      </c>
    </row>
    <row r="40" spans="1:2">
      <c r="A40" s="9" t="s">
        <v>276</v>
      </c>
      <c r="B40" s="9">
        <v>22</v>
      </c>
    </row>
    <row r="41" spans="1:2">
      <c r="A41" s="9" t="s">
        <v>357</v>
      </c>
      <c r="B41" s="9">
        <v>24</v>
      </c>
    </row>
    <row r="42" spans="1:2">
      <c r="A42" s="9" t="s">
        <v>294</v>
      </c>
      <c r="B42" s="9">
        <v>2</v>
      </c>
    </row>
    <row r="43" spans="1:2">
      <c r="A43" s="9" t="s">
        <v>284</v>
      </c>
      <c r="B43" s="9">
        <v>27</v>
      </c>
    </row>
    <row r="44" spans="1:2">
      <c r="A44" s="9" t="s">
        <v>15</v>
      </c>
      <c r="B44" s="9">
        <v>115</v>
      </c>
    </row>
    <row r="45" spans="1:2">
      <c r="A45" s="9" t="s">
        <v>37</v>
      </c>
      <c r="B45" s="9">
        <v>21</v>
      </c>
    </row>
    <row r="46" spans="1:2">
      <c r="A46" s="9" t="s">
        <v>213</v>
      </c>
      <c r="B46" s="9">
        <v>30</v>
      </c>
    </row>
    <row r="47" spans="1:2">
      <c r="A47" s="9" t="s">
        <v>211</v>
      </c>
      <c r="B47" s="9">
        <v>25</v>
      </c>
    </row>
    <row r="48" spans="1:2">
      <c r="A48" s="9" t="s">
        <v>221</v>
      </c>
      <c r="B48" s="9">
        <v>30</v>
      </c>
    </row>
    <row r="49" spans="1:2">
      <c r="A49" s="9" t="s">
        <v>219</v>
      </c>
      <c r="B49" s="9">
        <v>40</v>
      </c>
    </row>
    <row r="50" spans="1:2">
      <c r="A50" s="9" t="s">
        <v>140</v>
      </c>
      <c r="B50" s="9">
        <v>13</v>
      </c>
    </row>
    <row r="51" spans="1:2">
      <c r="A51" s="9" t="s">
        <v>214</v>
      </c>
      <c r="B51" s="9">
        <v>38</v>
      </c>
    </row>
    <row r="52" spans="1:2">
      <c r="A52" s="9" t="s">
        <v>468</v>
      </c>
      <c r="B52" s="9">
        <v>17</v>
      </c>
    </row>
    <row r="53" spans="1:2">
      <c r="A53" s="9" t="s">
        <v>125</v>
      </c>
      <c r="B53" s="9">
        <v>59</v>
      </c>
    </row>
    <row r="54" spans="1:2">
      <c r="A54" s="9" t="s">
        <v>518</v>
      </c>
      <c r="B54" s="9">
        <v>28</v>
      </c>
    </row>
    <row r="55" spans="1:2">
      <c r="A55" s="9" t="s">
        <v>277</v>
      </c>
      <c r="B55" s="9">
        <v>7</v>
      </c>
    </row>
    <row r="56" spans="1:2">
      <c r="A56" s="9" t="s">
        <v>487</v>
      </c>
      <c r="B56" s="9">
        <v>16</v>
      </c>
    </row>
    <row r="57" spans="1:2">
      <c r="A57" s="9" t="s">
        <v>292</v>
      </c>
      <c r="B57" s="9">
        <v>34</v>
      </c>
    </row>
    <row r="58" spans="1:2">
      <c r="A58" s="9" t="s">
        <v>35</v>
      </c>
      <c r="B58" s="9">
        <v>42</v>
      </c>
    </row>
    <row r="59" spans="1:2">
      <c r="A59" s="9" t="s">
        <v>445</v>
      </c>
      <c r="B59" s="9">
        <v>38</v>
      </c>
    </row>
    <row r="60" spans="1:2">
      <c r="A60" s="9" t="s">
        <v>421</v>
      </c>
      <c r="B60" s="9">
        <v>44</v>
      </c>
    </row>
    <row r="61" spans="1:2">
      <c r="A61" s="9" t="s">
        <v>346</v>
      </c>
      <c r="B61" s="9">
        <v>3</v>
      </c>
    </row>
    <row r="62" spans="1:2">
      <c r="A62" s="9" t="s">
        <v>439</v>
      </c>
      <c r="B62" s="9">
        <v>0</v>
      </c>
    </row>
    <row r="63" spans="1:2">
      <c r="A63" s="9" t="s">
        <v>619</v>
      </c>
      <c r="B63" s="9">
        <v>4</v>
      </c>
    </row>
    <row r="64" spans="1:2">
      <c r="A64" s="9" t="s">
        <v>251</v>
      </c>
      <c r="B64" s="9">
        <v>44</v>
      </c>
    </row>
    <row r="65" spans="1:2">
      <c r="A65" s="9" t="s">
        <v>620</v>
      </c>
      <c r="B65" s="9">
        <v>4</v>
      </c>
    </row>
    <row r="66" spans="1:2">
      <c r="A66" s="9" t="s">
        <v>513</v>
      </c>
      <c r="B66" s="9">
        <v>17</v>
      </c>
    </row>
    <row r="67" spans="1:2">
      <c r="A67" s="9" t="s">
        <v>420</v>
      </c>
      <c r="B67" s="9">
        <v>23</v>
      </c>
    </row>
    <row r="68" spans="1:2">
      <c r="A68" s="9" t="s">
        <v>621</v>
      </c>
      <c r="B68" s="9">
        <v>4</v>
      </c>
    </row>
    <row r="69" spans="1:2">
      <c r="A69" s="9" t="s">
        <v>265</v>
      </c>
      <c r="B69" s="9">
        <v>22</v>
      </c>
    </row>
    <row r="70" spans="1:2">
      <c r="A70" s="9" t="s">
        <v>210</v>
      </c>
      <c r="B70" s="9">
        <v>3</v>
      </c>
    </row>
    <row r="71" spans="1:2">
      <c r="A71" s="9" t="s">
        <v>622</v>
      </c>
      <c r="B71" s="9">
        <v>4</v>
      </c>
    </row>
    <row r="72" spans="1:2">
      <c r="A72" s="9" t="s">
        <v>390</v>
      </c>
      <c r="B72" s="9">
        <v>7</v>
      </c>
    </row>
    <row r="73" spans="1:2">
      <c r="A73" s="9" t="s">
        <v>623</v>
      </c>
      <c r="B73" s="9">
        <v>4</v>
      </c>
    </row>
    <row r="74" spans="1:2">
      <c r="A74" s="9" t="s">
        <v>134</v>
      </c>
      <c r="B74" s="9">
        <v>16</v>
      </c>
    </row>
    <row r="75" spans="1:2">
      <c r="A75" s="9" t="s">
        <v>120</v>
      </c>
      <c r="B75" s="9">
        <v>64</v>
      </c>
    </row>
    <row r="76" spans="1:2">
      <c r="A76" s="9" t="s">
        <v>142</v>
      </c>
      <c r="B76" s="9">
        <v>40</v>
      </c>
    </row>
    <row r="77" spans="1:2">
      <c r="A77" s="9" t="s">
        <v>460</v>
      </c>
      <c r="B77" s="9">
        <v>20</v>
      </c>
    </row>
    <row r="78" spans="1:2">
      <c r="A78" s="9" t="s">
        <v>342</v>
      </c>
      <c r="B78" s="9">
        <v>41</v>
      </c>
    </row>
    <row r="79" spans="1:2">
      <c r="A79" s="9" t="s">
        <v>624</v>
      </c>
      <c r="B79" s="9">
        <v>4</v>
      </c>
    </row>
    <row r="80" spans="1:2">
      <c r="A80" s="9" t="s">
        <v>279</v>
      </c>
      <c r="B80" s="9">
        <v>32</v>
      </c>
    </row>
    <row r="81" spans="1:2">
      <c r="A81" s="9" t="s">
        <v>74</v>
      </c>
      <c r="B81" s="9">
        <v>34</v>
      </c>
    </row>
    <row r="82" spans="1:2">
      <c r="A82" s="9" t="s">
        <v>280</v>
      </c>
      <c r="B82" s="9">
        <v>15</v>
      </c>
    </row>
    <row r="83" spans="1:2">
      <c r="A83" s="9" t="s">
        <v>568</v>
      </c>
      <c r="B83" s="9">
        <v>13</v>
      </c>
    </row>
    <row r="84" spans="1:2">
      <c r="A84" s="9" t="s">
        <v>133</v>
      </c>
      <c r="B84" s="9">
        <v>214</v>
      </c>
    </row>
    <row r="85" spans="1:2">
      <c r="A85" s="9" t="s">
        <v>407</v>
      </c>
      <c r="B85" s="9">
        <v>44</v>
      </c>
    </row>
    <row r="86" spans="1:2">
      <c r="A86" s="9" t="s">
        <v>436</v>
      </c>
      <c r="B86" s="9">
        <v>44</v>
      </c>
    </row>
    <row r="87" spans="1:2">
      <c r="A87" s="9" t="s">
        <v>215</v>
      </c>
      <c r="B87" s="9">
        <v>13</v>
      </c>
    </row>
    <row r="88" spans="1:2">
      <c r="A88" s="9" t="s">
        <v>437</v>
      </c>
      <c r="B88" s="9">
        <v>29</v>
      </c>
    </row>
    <row r="89" spans="1:2">
      <c r="A89" s="9" t="s">
        <v>588</v>
      </c>
      <c r="B89" s="9">
        <v>23</v>
      </c>
    </row>
    <row r="90" spans="1:2">
      <c r="A90" s="9" t="s">
        <v>515</v>
      </c>
      <c r="B90" s="9">
        <v>44</v>
      </c>
    </row>
    <row r="91" spans="1:2">
      <c r="A91" s="9" t="s">
        <v>625</v>
      </c>
      <c r="B91" s="9">
        <v>4</v>
      </c>
    </row>
    <row r="92" spans="1:2">
      <c r="A92" s="9" t="s">
        <v>135</v>
      </c>
      <c r="B92" s="9">
        <v>4</v>
      </c>
    </row>
    <row r="93" spans="1:2">
      <c r="A93" s="9" t="s">
        <v>146</v>
      </c>
      <c r="B93" s="9">
        <v>23</v>
      </c>
    </row>
    <row r="94" spans="1:2">
      <c r="A94" s="9" t="s">
        <v>411</v>
      </c>
      <c r="B94" s="9">
        <v>2</v>
      </c>
    </row>
    <row r="95" spans="1:2">
      <c r="A95" s="9" t="s">
        <v>148</v>
      </c>
      <c r="B95" s="9">
        <v>49</v>
      </c>
    </row>
    <row r="96" spans="1:2">
      <c r="A96" s="9" t="s">
        <v>550</v>
      </c>
      <c r="B96" s="9">
        <v>23</v>
      </c>
    </row>
    <row r="97" spans="1:2">
      <c r="A97" s="9" t="s">
        <v>462</v>
      </c>
      <c r="B97" s="9">
        <v>30</v>
      </c>
    </row>
    <row r="98" spans="1:2">
      <c r="A98" s="9" t="s">
        <v>430</v>
      </c>
      <c r="B98" s="9">
        <v>18</v>
      </c>
    </row>
    <row r="99" spans="1:2">
      <c r="A99" s="9" t="s">
        <v>592</v>
      </c>
      <c r="B99" s="9">
        <v>9</v>
      </c>
    </row>
    <row r="100" spans="1:2">
      <c r="A100" s="9" t="s">
        <v>483</v>
      </c>
      <c r="B100" s="9">
        <v>22</v>
      </c>
    </row>
    <row r="101" spans="1:2">
      <c r="A101" s="9" t="s">
        <v>565</v>
      </c>
      <c r="B101" s="9">
        <v>16</v>
      </c>
    </row>
    <row r="102" spans="1:2">
      <c r="A102" s="9" t="s">
        <v>523</v>
      </c>
      <c r="B102" s="9">
        <v>40</v>
      </c>
    </row>
    <row r="103" spans="1:2">
      <c r="A103" s="9" t="s">
        <v>234</v>
      </c>
      <c r="B103" s="9">
        <v>2</v>
      </c>
    </row>
    <row r="104" spans="1:2">
      <c r="A104" s="9" t="s">
        <v>141</v>
      </c>
      <c r="B104" s="9">
        <v>20</v>
      </c>
    </row>
    <row r="105" spans="1:2">
      <c r="A105" s="9" t="s">
        <v>149</v>
      </c>
      <c r="B105" s="9">
        <v>42</v>
      </c>
    </row>
    <row r="106" spans="1:2">
      <c r="A106" s="9" t="s">
        <v>103</v>
      </c>
      <c r="B106" s="9">
        <v>3</v>
      </c>
    </row>
    <row r="107" spans="1:2">
      <c r="A107" s="9" t="s">
        <v>405</v>
      </c>
      <c r="B107" s="9">
        <v>44</v>
      </c>
    </row>
    <row r="108" spans="1:2">
      <c r="A108" s="9" t="s">
        <v>514</v>
      </c>
      <c r="B108" s="9">
        <v>14</v>
      </c>
    </row>
    <row r="109" spans="1:2">
      <c r="A109" s="9" t="s">
        <v>218</v>
      </c>
      <c r="B109" s="9">
        <v>28</v>
      </c>
    </row>
    <row r="110" spans="1:2">
      <c r="A110" s="9" t="s">
        <v>222</v>
      </c>
      <c r="B110" s="9">
        <v>25</v>
      </c>
    </row>
    <row r="111" spans="1:2">
      <c r="A111" s="9" t="s">
        <v>119</v>
      </c>
      <c r="B111" s="9">
        <v>10</v>
      </c>
    </row>
    <row r="112" spans="1:2">
      <c r="A112" s="9" t="s">
        <v>126</v>
      </c>
      <c r="B112" s="9">
        <v>9</v>
      </c>
    </row>
    <row r="113" spans="1:2">
      <c r="A113" s="9" t="s">
        <v>258</v>
      </c>
      <c r="B113" s="9">
        <v>0</v>
      </c>
    </row>
    <row r="114" spans="1:2">
      <c r="A114" s="9" t="s">
        <v>115</v>
      </c>
      <c r="B114" s="9">
        <v>6</v>
      </c>
    </row>
    <row r="115" spans="1:2">
      <c r="A115" s="9" t="s">
        <v>427</v>
      </c>
      <c r="B115" s="9">
        <v>0</v>
      </c>
    </row>
    <row r="116" spans="1:2">
      <c r="A116" s="9" t="s">
        <v>626</v>
      </c>
      <c r="B116" s="9">
        <v>19</v>
      </c>
    </row>
    <row r="117" spans="1:2">
      <c r="A117" s="9" t="s">
        <v>184</v>
      </c>
      <c r="B117" s="9">
        <v>14</v>
      </c>
    </row>
    <row r="118" spans="1:2">
      <c r="A118" s="9" t="s">
        <v>627</v>
      </c>
      <c r="B118" s="9">
        <v>19</v>
      </c>
    </row>
    <row r="119" spans="1:2">
      <c r="A119" s="9" t="s">
        <v>118</v>
      </c>
      <c r="B119" s="9">
        <v>47</v>
      </c>
    </row>
    <row r="120" spans="1:2">
      <c r="A120" s="9" t="s">
        <v>186</v>
      </c>
      <c r="B120" s="9">
        <v>42</v>
      </c>
    </row>
    <row r="121" spans="1:2">
      <c r="A121" s="9" t="s">
        <v>628</v>
      </c>
      <c r="B121" s="9">
        <v>13</v>
      </c>
    </row>
    <row r="122" spans="1:2">
      <c r="A122" s="9" t="s">
        <v>136</v>
      </c>
      <c r="B122" s="9">
        <v>0</v>
      </c>
    </row>
    <row r="123" spans="1:2">
      <c r="A123" s="9" t="s">
        <v>144</v>
      </c>
      <c r="B123" s="9">
        <v>41</v>
      </c>
    </row>
    <row r="124" spans="1:2">
      <c r="A124" s="9" t="s">
        <v>156</v>
      </c>
      <c r="B124" s="9">
        <v>19</v>
      </c>
    </row>
    <row r="125" spans="1:2">
      <c r="A125" s="9" t="s">
        <v>278</v>
      </c>
      <c r="B125" s="9">
        <v>38</v>
      </c>
    </row>
    <row r="126" spans="1:2">
      <c r="A126" s="9" t="s">
        <v>438</v>
      </c>
      <c r="B126" s="9">
        <v>43</v>
      </c>
    </row>
    <row r="127" spans="1:2">
      <c r="A127" s="9" t="s">
        <v>312</v>
      </c>
      <c r="B127" s="9">
        <v>36</v>
      </c>
    </row>
    <row r="128" spans="1:2">
      <c r="A128" s="9" t="s">
        <v>428</v>
      </c>
      <c r="B128" s="9">
        <v>2</v>
      </c>
    </row>
    <row r="129" spans="1:2">
      <c r="A129" s="9" t="s">
        <v>287</v>
      </c>
      <c r="B129" s="9">
        <v>19</v>
      </c>
    </row>
    <row r="130" spans="1:2">
      <c r="A130" s="9" t="s">
        <v>563</v>
      </c>
      <c r="B130" s="9">
        <v>47</v>
      </c>
    </row>
    <row r="131" spans="1:2">
      <c r="A131" s="9" t="s">
        <v>629</v>
      </c>
      <c r="B131" s="9">
        <v>19</v>
      </c>
    </row>
    <row r="132" spans="1:2">
      <c r="A132" s="9" t="s">
        <v>244</v>
      </c>
      <c r="B132" s="9">
        <v>19</v>
      </c>
    </row>
    <row r="133" spans="1:2">
      <c r="A133" s="9" t="s">
        <v>540</v>
      </c>
      <c r="B133" s="9">
        <v>19</v>
      </c>
    </row>
    <row r="134" spans="1:2">
      <c r="A134" s="9" t="s">
        <v>226</v>
      </c>
      <c r="B134" s="9">
        <v>4</v>
      </c>
    </row>
    <row r="135" spans="1:2">
      <c r="A135" s="9" t="s">
        <v>630</v>
      </c>
      <c r="B135" s="9">
        <v>19</v>
      </c>
    </row>
    <row r="136" spans="1:2">
      <c r="A136" s="9" t="s">
        <v>409</v>
      </c>
      <c r="B136" s="9">
        <v>39</v>
      </c>
    </row>
    <row r="137" spans="1:2">
      <c r="A137" s="9" t="s">
        <v>416</v>
      </c>
      <c r="B137" s="9">
        <v>39</v>
      </c>
    </row>
    <row r="138" spans="1:2">
      <c r="A138" s="9" t="s">
        <v>631</v>
      </c>
      <c r="B138" s="9">
        <v>19</v>
      </c>
    </row>
    <row r="139" spans="1:2">
      <c r="A139" s="9" t="s">
        <v>260</v>
      </c>
      <c r="B139" s="9">
        <v>19</v>
      </c>
    </row>
    <row r="140" spans="1:2">
      <c r="A140" s="9" t="s">
        <v>261</v>
      </c>
      <c r="B140" s="9">
        <v>44</v>
      </c>
    </row>
    <row r="141" spans="1:2">
      <c r="A141" s="9" t="s">
        <v>551</v>
      </c>
      <c r="B141" s="9">
        <v>38</v>
      </c>
    </row>
    <row r="142" spans="1:2">
      <c r="A142" s="9" t="s">
        <v>479</v>
      </c>
      <c r="B142" s="9">
        <v>1</v>
      </c>
    </row>
    <row r="143" spans="1:2">
      <c r="A143" s="9" t="s">
        <v>354</v>
      </c>
      <c r="B143" s="9">
        <v>5</v>
      </c>
    </row>
    <row r="144" spans="1:2">
      <c r="A144" s="9" t="s">
        <v>429</v>
      </c>
      <c r="B144" s="9">
        <v>38</v>
      </c>
    </row>
    <row r="145" spans="1:2">
      <c r="A145" s="9" t="s">
        <v>257</v>
      </c>
      <c r="B145" s="9">
        <v>19</v>
      </c>
    </row>
    <row r="146" spans="1:2">
      <c r="A146" s="9" t="s">
        <v>223</v>
      </c>
      <c r="B146" s="9">
        <v>23</v>
      </c>
    </row>
    <row r="147" spans="1:2">
      <c r="A147" s="9" t="s">
        <v>489</v>
      </c>
      <c r="B147" s="9">
        <v>22</v>
      </c>
    </row>
    <row r="148" spans="1:2">
      <c r="A148" s="9" t="s">
        <v>252</v>
      </c>
      <c r="B148" s="9">
        <v>11</v>
      </c>
    </row>
    <row r="149" spans="1:2">
      <c r="A149" s="9" t="s">
        <v>543</v>
      </c>
      <c r="B149" s="9">
        <v>17</v>
      </c>
    </row>
    <row r="150" spans="1:2">
      <c r="A150" s="9" t="s">
        <v>442</v>
      </c>
      <c r="B150" s="9">
        <v>19</v>
      </c>
    </row>
    <row r="151" spans="1:2">
      <c r="A151" s="9" t="s">
        <v>600</v>
      </c>
      <c r="B151" s="9">
        <v>19</v>
      </c>
    </row>
    <row r="152" spans="1:2">
      <c r="A152" s="9" t="s">
        <v>425</v>
      </c>
      <c r="B152" s="9">
        <v>26</v>
      </c>
    </row>
    <row r="153" spans="1:2">
      <c r="A153" s="9" t="s">
        <v>602</v>
      </c>
      <c r="B153" s="9">
        <v>22</v>
      </c>
    </row>
    <row r="154" spans="1:2">
      <c r="A154" s="9" t="s">
        <v>511</v>
      </c>
      <c r="B154" s="9">
        <v>48</v>
      </c>
    </row>
    <row r="155" spans="1:2">
      <c r="A155" s="9" t="s">
        <v>605</v>
      </c>
      <c r="B155" s="9">
        <v>19</v>
      </c>
    </row>
    <row r="156" spans="1:2">
      <c r="A156" s="9" t="s">
        <v>591</v>
      </c>
      <c r="B156" s="9">
        <v>19</v>
      </c>
    </row>
    <row r="157" spans="1:2">
      <c r="A157" s="9" t="s">
        <v>490</v>
      </c>
      <c r="B157" s="9">
        <v>15</v>
      </c>
    </row>
    <row r="158" spans="1:2">
      <c r="A158" s="9" t="s">
        <v>597</v>
      </c>
      <c r="B158" s="9">
        <v>19</v>
      </c>
    </row>
    <row r="159" spans="1:2">
      <c r="A159" s="9" t="s">
        <v>196</v>
      </c>
      <c r="B159" s="9">
        <v>22</v>
      </c>
    </row>
    <row r="160" spans="1:2">
      <c r="A160" s="9" t="s">
        <v>130</v>
      </c>
      <c r="B160" s="9">
        <v>19</v>
      </c>
    </row>
    <row r="161" spans="1:2">
      <c r="A161" s="9" t="s">
        <v>131</v>
      </c>
      <c r="B161" s="9">
        <v>6</v>
      </c>
    </row>
    <row r="162" spans="1:2">
      <c r="A162" s="9" t="s">
        <v>139</v>
      </c>
      <c r="B162" s="9">
        <v>12</v>
      </c>
    </row>
    <row r="163" spans="1:2">
      <c r="A163" s="9" t="s">
        <v>91</v>
      </c>
      <c r="B163" s="9">
        <v>38</v>
      </c>
    </row>
    <row r="164" spans="1:2">
      <c r="A164" s="9" t="s">
        <v>457</v>
      </c>
      <c r="B164" s="9">
        <v>46</v>
      </c>
    </row>
    <row r="165" spans="1:2">
      <c r="A165" s="9" t="s">
        <v>92</v>
      </c>
      <c r="B165" s="9">
        <v>19</v>
      </c>
    </row>
    <row r="166" spans="1:2">
      <c r="A166" s="9" t="s">
        <v>68</v>
      </c>
      <c r="B166" s="9">
        <v>19</v>
      </c>
    </row>
    <row r="167" spans="1:2">
      <c r="A167" s="9" t="s">
        <v>431</v>
      </c>
      <c r="B167" s="9">
        <v>14</v>
      </c>
    </row>
    <row r="168" spans="1:2">
      <c r="A168" s="9" t="s">
        <v>132</v>
      </c>
      <c r="B168" s="9">
        <v>33</v>
      </c>
    </row>
    <row r="169" spans="1:2">
      <c r="A169" s="9" t="s">
        <v>46</v>
      </c>
      <c r="B169" s="9">
        <v>42</v>
      </c>
    </row>
    <row r="170" spans="1:2">
      <c r="A170" s="9" t="s">
        <v>472</v>
      </c>
      <c r="B170" s="9">
        <v>38</v>
      </c>
    </row>
    <row r="171" spans="1:2">
      <c r="A171" s="9" t="s">
        <v>16</v>
      </c>
      <c r="B171" s="9">
        <v>33</v>
      </c>
    </row>
    <row r="172" spans="1:2">
      <c r="A172" s="9" t="s">
        <v>570</v>
      </c>
      <c r="B172" s="9">
        <v>25</v>
      </c>
    </row>
    <row r="173" spans="1:2">
      <c r="A173" s="9" t="s">
        <v>365</v>
      </c>
      <c r="B173" s="9">
        <v>-14</v>
      </c>
    </row>
    <row r="174" spans="1:2">
      <c r="A174" s="9" t="s">
        <v>117</v>
      </c>
      <c r="B174" s="9">
        <v>13</v>
      </c>
    </row>
    <row r="175" spans="1:2">
      <c r="A175" s="9" t="s">
        <v>576</v>
      </c>
      <c r="B175" s="9">
        <v>15</v>
      </c>
    </row>
    <row r="176" spans="1:2">
      <c r="A176" s="9" t="s">
        <v>524</v>
      </c>
      <c r="B176" s="9">
        <v>32</v>
      </c>
    </row>
    <row r="177" spans="1:2">
      <c r="A177" s="9" t="s">
        <v>250</v>
      </c>
      <c r="B177" s="9">
        <v>-15</v>
      </c>
    </row>
    <row r="178" spans="1:2">
      <c r="A178" s="9" t="s">
        <v>297</v>
      </c>
      <c r="B178" s="9">
        <v>0</v>
      </c>
    </row>
    <row r="179" spans="1:2">
      <c r="A179" s="9" t="s">
        <v>296</v>
      </c>
      <c r="B179" s="9">
        <v>0</v>
      </c>
    </row>
    <row r="180" spans="1:2">
      <c r="A180" s="9" t="s">
        <v>567</v>
      </c>
      <c r="B180" s="9">
        <v>0</v>
      </c>
    </row>
    <row r="181" spans="1:2">
      <c r="A181" s="9" t="s">
        <v>288</v>
      </c>
      <c r="B181" s="9">
        <v>0</v>
      </c>
    </row>
    <row r="182" spans="1:2">
      <c r="A182" s="9" t="s">
        <v>566</v>
      </c>
      <c r="B182" s="9">
        <v>0</v>
      </c>
    </row>
    <row r="183" spans="1:2">
      <c r="A183" s="9" t="s">
        <v>289</v>
      </c>
      <c r="B183" s="9">
        <v>0</v>
      </c>
    </row>
    <row r="184" spans="1:2">
      <c r="A184" s="9" t="s">
        <v>632</v>
      </c>
      <c r="B184" s="9">
        <v>0</v>
      </c>
    </row>
    <row r="185" spans="1:2">
      <c r="A185" s="9" t="s">
        <v>293</v>
      </c>
      <c r="B185" s="9">
        <v>0</v>
      </c>
    </row>
    <row r="186" spans="1:2">
      <c r="A186" s="9" t="s">
        <v>633</v>
      </c>
      <c r="B186" s="9">
        <v>0</v>
      </c>
    </row>
    <row r="187" spans="1:2">
      <c r="A187" s="9" t="s">
        <v>55</v>
      </c>
      <c r="B187" s="9">
        <v>0</v>
      </c>
    </row>
    <row r="188" spans="1:2">
      <c r="A188" s="9" t="s">
        <v>54</v>
      </c>
      <c r="B188" s="9">
        <v>0</v>
      </c>
    </row>
    <row r="189" spans="1:2">
      <c r="A189" s="9" t="s">
        <v>275</v>
      </c>
      <c r="B189" s="9">
        <v>0</v>
      </c>
    </row>
    <row r="190" spans="1:2">
      <c r="A190" s="9" t="s">
        <v>291</v>
      </c>
      <c r="B190" s="9">
        <v>0</v>
      </c>
    </row>
    <row r="191" spans="1:2">
      <c r="A191" s="9" t="s">
        <v>448</v>
      </c>
      <c r="B191" s="9">
        <v>0</v>
      </c>
    </row>
    <row r="192" spans="1:2">
      <c r="A192" s="9" t="s">
        <v>229</v>
      </c>
      <c r="B192" s="9">
        <v>0</v>
      </c>
    </row>
    <row r="193" spans="1:2">
      <c r="A193" s="9" t="s">
        <v>230</v>
      </c>
      <c r="B193" s="9">
        <v>0</v>
      </c>
    </row>
    <row r="194" spans="1:2">
      <c r="A194" s="9" t="s">
        <v>396</v>
      </c>
      <c r="B194" s="9">
        <v>0</v>
      </c>
    </row>
    <row r="195" spans="1:2">
      <c r="A195" s="9" t="s">
        <v>56</v>
      </c>
      <c r="B195" s="9">
        <v>0</v>
      </c>
    </row>
    <row r="196" spans="1:2">
      <c r="A196" s="9" t="s">
        <v>298</v>
      </c>
      <c r="B196" s="9">
        <v>0</v>
      </c>
    </row>
    <row r="197" spans="1:2">
      <c r="A197" s="9" t="s">
        <v>71</v>
      </c>
      <c r="B197" s="9">
        <v>0</v>
      </c>
    </row>
    <row r="198" spans="1:2">
      <c r="A198" s="9" t="s">
        <v>299</v>
      </c>
      <c r="B198" s="9">
        <v>0</v>
      </c>
    </row>
    <row r="199" spans="1:2">
      <c r="A199" s="9" t="s">
        <v>300</v>
      </c>
      <c r="B199" s="9">
        <v>0</v>
      </c>
    </row>
    <row r="200" spans="1:2">
      <c r="A200" s="9" t="s">
        <v>301</v>
      </c>
      <c r="B200" s="9">
        <v>0</v>
      </c>
    </row>
    <row r="201" spans="1:2">
      <c r="A201" s="9" t="s">
        <v>580</v>
      </c>
      <c r="B201" s="9">
        <v>-2</v>
      </c>
    </row>
    <row r="202" spans="1:2">
      <c r="A202" s="9" t="s">
        <v>303</v>
      </c>
      <c r="B202" s="9">
        <v>0</v>
      </c>
    </row>
    <row r="203" spans="1:2">
      <c r="A203" s="9" t="s">
        <v>302</v>
      </c>
      <c r="B203" s="9">
        <v>0</v>
      </c>
    </row>
    <row r="204" spans="1:2">
      <c r="A204" s="9" t="s">
        <v>253</v>
      </c>
      <c r="B204" s="9">
        <v>0</v>
      </c>
    </row>
    <row r="205" spans="1:2">
      <c r="A205" s="9" t="s">
        <v>349</v>
      </c>
      <c r="B205" s="9">
        <v>-12</v>
      </c>
    </row>
    <row r="206" spans="1:2">
      <c r="A206" s="9" t="s">
        <v>304</v>
      </c>
      <c r="B206" s="9">
        <v>0</v>
      </c>
    </row>
    <row r="207" spans="1:2">
      <c r="A207" s="9" t="s">
        <v>305</v>
      </c>
      <c r="B207" s="9">
        <v>0</v>
      </c>
    </row>
    <row r="208" spans="1:2">
      <c r="A208" s="9" t="s">
        <v>295</v>
      </c>
      <c r="B208" s="9">
        <v>0</v>
      </c>
    </row>
    <row r="209" spans="1:2">
      <c r="A209" s="9" t="s">
        <v>72</v>
      </c>
      <c r="B209" s="9">
        <v>0</v>
      </c>
    </row>
    <row r="210" spans="1:2">
      <c r="A210" s="9" t="s">
        <v>290</v>
      </c>
      <c r="B210" s="9">
        <v>0</v>
      </c>
    </row>
    <row r="211" spans="1:2">
      <c r="A211" s="9" t="s">
        <v>270</v>
      </c>
      <c r="B211" s="9">
        <v>0</v>
      </c>
    </row>
    <row r="212" spans="1:2">
      <c r="A212" s="9" t="s">
        <v>555</v>
      </c>
      <c r="B212" s="9">
        <v>0</v>
      </c>
    </row>
    <row r="213" spans="1:2">
      <c r="A213" s="9" t="s">
        <v>449</v>
      </c>
      <c r="B213" s="9">
        <v>0</v>
      </c>
    </row>
    <row r="214" spans="1:2">
      <c r="A214" s="9" t="s">
        <v>556</v>
      </c>
      <c r="B214" s="9">
        <v>0</v>
      </c>
    </row>
    <row r="215" spans="1:2">
      <c r="A215" s="9" t="s">
        <v>309</v>
      </c>
      <c r="B215" s="9">
        <v>0</v>
      </c>
    </row>
    <row r="216" spans="1:2">
      <c r="A216" s="9" t="s">
        <v>73</v>
      </c>
      <c r="B216" s="9">
        <v>0</v>
      </c>
    </row>
    <row r="217" spans="1:2">
      <c r="A217" s="9" t="s">
        <v>286</v>
      </c>
      <c r="B217" s="9">
        <v>0</v>
      </c>
    </row>
    <row r="218" spans="1:2">
      <c r="A218" s="9" t="s">
        <v>581</v>
      </c>
      <c r="B218" s="9">
        <v>0</v>
      </c>
    </row>
    <row r="219" spans="1:2">
      <c r="A219" s="9" t="s">
        <v>582</v>
      </c>
      <c r="B219" s="9">
        <v>0</v>
      </c>
    </row>
    <row r="220" spans="1:2">
      <c r="A220" s="9" t="s">
        <v>557</v>
      </c>
      <c r="B220" s="9">
        <v>0</v>
      </c>
    </row>
    <row r="221" spans="1:2">
      <c r="A221" s="9" t="s">
        <v>422</v>
      </c>
      <c r="B221" s="9">
        <v>0</v>
      </c>
    </row>
    <row r="222" spans="1:2">
      <c r="A222" s="9" t="s">
        <v>104</v>
      </c>
      <c r="B222" s="9">
        <v>0</v>
      </c>
    </row>
    <row r="223" spans="1:2">
      <c r="A223" s="9" t="s">
        <v>105</v>
      </c>
      <c r="B223" s="9">
        <v>0</v>
      </c>
    </row>
    <row r="224" spans="1:2">
      <c r="A224" s="9" t="s">
        <v>52</v>
      </c>
      <c r="B224" s="9">
        <v>0</v>
      </c>
    </row>
    <row r="225" spans="1:2">
      <c r="A225" s="9" t="s">
        <v>412</v>
      </c>
      <c r="B225" s="9">
        <v>0</v>
      </c>
    </row>
    <row r="226" spans="1:2">
      <c r="A226" s="9" t="s">
        <v>418</v>
      </c>
      <c r="B226" s="9">
        <v>0</v>
      </c>
    </row>
    <row r="227" spans="1:2">
      <c r="A227" s="9" t="s">
        <v>424</v>
      </c>
      <c r="B227" s="9">
        <v>0</v>
      </c>
    </row>
    <row r="228" spans="1:2">
      <c r="A228" s="9" t="s">
        <v>235</v>
      </c>
      <c r="B228" s="9">
        <v>0</v>
      </c>
    </row>
    <row r="229" spans="1:2">
      <c r="A229" s="9" t="s">
        <v>533</v>
      </c>
      <c r="B229" s="9">
        <v>0</v>
      </c>
    </row>
    <row r="230" spans="1:2">
      <c r="A230" s="9" t="s">
        <v>589</v>
      </c>
      <c r="B230" s="9">
        <v>0</v>
      </c>
    </row>
    <row r="231" spans="1:2">
      <c r="A231" s="9" t="s">
        <v>57</v>
      </c>
      <c r="B231" s="9">
        <v>0</v>
      </c>
    </row>
    <row r="232" spans="1:2">
      <c r="A232" s="9" t="s">
        <v>451</v>
      </c>
      <c r="B232" s="9">
        <v>0</v>
      </c>
    </row>
    <row r="233" spans="1:2">
      <c r="A233" s="9" t="s">
        <v>535</v>
      </c>
      <c r="B233" s="9">
        <v>48</v>
      </c>
    </row>
    <row r="234" spans="1:2">
      <c r="A234" s="9" t="s">
        <v>452</v>
      </c>
      <c r="B234" s="9">
        <v>0</v>
      </c>
    </row>
    <row r="235" spans="1:2">
      <c r="A235" s="9" t="s">
        <v>537</v>
      </c>
      <c r="B235" s="9">
        <v>0</v>
      </c>
    </row>
    <row r="236" spans="1:2">
      <c r="A236" s="9" t="s">
        <v>453</v>
      </c>
      <c r="B236" s="9">
        <v>0</v>
      </c>
    </row>
    <row r="237" spans="1:2">
      <c r="A237" s="9" t="s">
        <v>538</v>
      </c>
      <c r="B237" s="9">
        <v>0</v>
      </c>
    </row>
    <row r="238" spans="1:2">
      <c r="A238" s="9" t="s">
        <v>413</v>
      </c>
      <c r="B238" s="9">
        <v>0</v>
      </c>
    </row>
    <row r="239" spans="1:2">
      <c r="A239" s="9" t="s">
        <v>348</v>
      </c>
      <c r="B239" s="9">
        <v>0</v>
      </c>
    </row>
    <row r="240" spans="1:2">
      <c r="A240" s="9" t="s">
        <v>237</v>
      </c>
      <c r="B240" s="9">
        <v>0</v>
      </c>
    </row>
    <row r="241" spans="1:2">
      <c r="A241" s="9" t="s">
        <v>441</v>
      </c>
      <c r="B241" s="9">
        <v>0</v>
      </c>
    </row>
    <row r="242" spans="1:2">
      <c r="A242" s="9" t="s">
        <v>238</v>
      </c>
      <c r="B242" s="9">
        <v>0</v>
      </c>
    </row>
    <row r="243" spans="1:2">
      <c r="A243" s="9" t="s">
        <v>239</v>
      </c>
      <c r="B243" s="9">
        <v>0</v>
      </c>
    </row>
    <row r="244" spans="1:2">
      <c r="A244" s="9" t="s">
        <v>491</v>
      </c>
      <c r="B244" s="9">
        <v>0</v>
      </c>
    </row>
    <row r="245" spans="1:2">
      <c r="A245" s="9" t="s">
        <v>240</v>
      </c>
      <c r="B245" s="9">
        <v>0</v>
      </c>
    </row>
    <row r="246" spans="1:2">
      <c r="A246" s="9" t="s">
        <v>59</v>
      </c>
      <c r="B246" s="9">
        <v>0</v>
      </c>
    </row>
    <row r="247" spans="1:2">
      <c r="A247" s="9" t="s">
        <v>220</v>
      </c>
      <c r="B247" s="9">
        <v>-8</v>
      </c>
    </row>
    <row r="248" spans="1:2">
      <c r="A248" s="9" t="s">
        <v>241</v>
      </c>
      <c r="B248" s="9">
        <v>0</v>
      </c>
    </row>
    <row r="249" spans="1:2">
      <c r="A249" s="9" t="s">
        <v>455</v>
      </c>
      <c r="B249" s="9">
        <v>0</v>
      </c>
    </row>
    <row r="250" spans="1:2">
      <c r="A250" s="9" t="s">
        <v>242</v>
      </c>
      <c r="B250" s="9">
        <v>0</v>
      </c>
    </row>
    <row r="251" spans="1:2">
      <c r="A251" s="9" t="s">
        <v>60</v>
      </c>
      <c r="B251" s="9">
        <v>0</v>
      </c>
    </row>
    <row r="252" spans="1:2">
      <c r="A252" s="9" t="s">
        <v>456</v>
      </c>
      <c r="B252" s="9">
        <v>0</v>
      </c>
    </row>
    <row r="253" spans="1:2">
      <c r="A253" s="9" t="s">
        <v>454</v>
      </c>
      <c r="B253" s="9">
        <v>0</v>
      </c>
    </row>
    <row r="254" spans="1:2">
      <c r="A254" s="9" t="s">
        <v>408</v>
      </c>
      <c r="B254" s="9">
        <v>0</v>
      </c>
    </row>
    <row r="255" spans="1:2">
      <c r="A255" s="9" t="s">
        <v>243</v>
      </c>
      <c r="B255" s="9">
        <v>0</v>
      </c>
    </row>
    <row r="256" spans="1:2">
      <c r="A256" s="9" t="s">
        <v>419</v>
      </c>
      <c r="B256" s="9">
        <v>0</v>
      </c>
    </row>
    <row r="257" spans="1:2">
      <c r="A257" s="9" t="s">
        <v>245</v>
      </c>
      <c r="B257" s="9">
        <v>0</v>
      </c>
    </row>
    <row r="258" spans="1:2">
      <c r="A258" s="9" t="s">
        <v>50</v>
      </c>
      <c r="B258" s="9">
        <v>0</v>
      </c>
    </row>
    <row r="259" spans="1:2">
      <c r="A259" s="9" t="s">
        <v>246</v>
      </c>
      <c r="B259" s="9">
        <v>0</v>
      </c>
    </row>
    <row r="260" spans="1:2">
      <c r="A260" s="9" t="s">
        <v>247</v>
      </c>
      <c r="B260" s="9">
        <v>0</v>
      </c>
    </row>
    <row r="261" spans="1:2">
      <c r="A261" s="9" t="s">
        <v>393</v>
      </c>
      <c r="B261" s="9">
        <v>0</v>
      </c>
    </row>
    <row r="262" spans="1:2">
      <c r="A262" s="9" t="s">
        <v>248</v>
      </c>
      <c r="B262" s="9">
        <v>0</v>
      </c>
    </row>
    <row r="263" spans="1:2">
      <c r="A263" s="9" t="s">
        <v>51</v>
      </c>
      <c r="B263" s="9">
        <v>0</v>
      </c>
    </row>
    <row r="264" spans="1:2">
      <c r="A264" s="9" t="s">
        <v>227</v>
      </c>
      <c r="B264" s="9">
        <v>0</v>
      </c>
    </row>
    <row r="265" spans="1:2">
      <c r="A265" s="9" t="s">
        <v>391</v>
      </c>
      <c r="B265" s="9">
        <v>0</v>
      </c>
    </row>
    <row r="266" spans="1:2">
      <c r="A266" s="9" t="s">
        <v>47</v>
      </c>
      <c r="B266" s="9">
        <v>0</v>
      </c>
    </row>
    <row r="267" spans="1:2">
      <c r="A267" s="9" t="s">
        <v>395</v>
      </c>
      <c r="B267" s="9">
        <v>0</v>
      </c>
    </row>
    <row r="268" spans="1:2">
      <c r="A268" s="9" t="s">
        <v>562</v>
      </c>
      <c r="B268" s="9">
        <v>0</v>
      </c>
    </row>
    <row r="269" spans="1:2">
      <c r="A269" s="9" t="s">
        <v>53</v>
      </c>
      <c r="B269" s="9">
        <v>0</v>
      </c>
    </row>
    <row r="270" spans="1:2">
      <c r="A270" s="9" t="s">
        <v>225</v>
      </c>
      <c r="B270" s="9">
        <v>1</v>
      </c>
    </row>
    <row r="271" spans="1:2">
      <c r="A271" s="9" t="s">
        <v>228</v>
      </c>
      <c r="B271" s="9">
        <v>0</v>
      </c>
    </row>
    <row r="272" spans="1:2">
      <c r="A272" s="9" t="s">
        <v>584</v>
      </c>
      <c r="B272" s="9">
        <v>0</v>
      </c>
    </row>
    <row r="273" spans="1:2">
      <c r="A273" s="9" t="s">
        <v>306</v>
      </c>
      <c r="B273" s="9">
        <v>0</v>
      </c>
    </row>
    <row r="274" spans="1:2">
      <c r="A274" s="9" t="s">
        <v>63</v>
      </c>
      <c r="B274" s="9">
        <v>0</v>
      </c>
    </row>
    <row r="275" spans="1:2">
      <c r="A275" s="9" t="s">
        <v>496</v>
      </c>
      <c r="B275" s="9">
        <v>0</v>
      </c>
    </row>
    <row r="276" spans="1:2">
      <c r="A276" s="9" t="s">
        <v>388</v>
      </c>
      <c r="B276" s="9">
        <v>0</v>
      </c>
    </row>
    <row r="277" spans="1:2">
      <c r="A277" s="9" t="s">
        <v>360</v>
      </c>
      <c r="B277" s="9">
        <v>0</v>
      </c>
    </row>
    <row r="278" spans="1:2">
      <c r="A278" s="9" t="s">
        <v>364</v>
      </c>
      <c r="B278" s="9">
        <v>0</v>
      </c>
    </row>
    <row r="279" spans="1:2">
      <c r="A279" s="9" t="s">
        <v>387</v>
      </c>
      <c r="B279" s="9">
        <v>0</v>
      </c>
    </row>
    <row r="280" spans="1:2">
      <c r="A280" s="9" t="s">
        <v>64</v>
      </c>
      <c r="B280" s="9">
        <v>0</v>
      </c>
    </row>
    <row r="281" spans="1:2">
      <c r="A281" s="9" t="s">
        <v>423</v>
      </c>
      <c r="B281" s="9">
        <v>0</v>
      </c>
    </row>
    <row r="282" spans="1:2">
      <c r="A282" s="9" t="s">
        <v>65</v>
      </c>
      <c r="B282" s="9">
        <v>0</v>
      </c>
    </row>
    <row r="283" spans="1:2">
      <c r="A283" s="9" t="s">
        <v>351</v>
      </c>
      <c r="B283" s="9">
        <v>0</v>
      </c>
    </row>
    <row r="284" spans="1:2">
      <c r="A284" s="9" t="s">
        <v>359</v>
      </c>
      <c r="B284" s="9">
        <v>6</v>
      </c>
    </row>
    <row r="285" spans="1:2">
      <c r="A285" s="9" t="s">
        <v>386</v>
      </c>
      <c r="B285" s="9">
        <v>0</v>
      </c>
    </row>
    <row r="286" spans="1:2">
      <c r="A286" s="9" t="s">
        <v>385</v>
      </c>
      <c r="B286" s="9">
        <v>0</v>
      </c>
    </row>
    <row r="287" spans="1:2">
      <c r="A287" s="9" t="s">
        <v>384</v>
      </c>
      <c r="B287" s="9">
        <v>0</v>
      </c>
    </row>
    <row r="288" spans="1:2">
      <c r="A288" s="9" t="s">
        <v>307</v>
      </c>
      <c r="B288" s="9">
        <v>0</v>
      </c>
    </row>
    <row r="289" spans="1:2">
      <c r="A289" s="9" t="s">
        <v>66</v>
      </c>
      <c r="B289" s="9">
        <v>0</v>
      </c>
    </row>
    <row r="290" spans="1:2">
      <c r="A290" s="9" t="s">
        <v>383</v>
      </c>
      <c r="B290" s="9">
        <v>0</v>
      </c>
    </row>
    <row r="291" spans="1:2">
      <c r="A291" s="9" t="s">
        <v>382</v>
      </c>
      <c r="B291" s="9">
        <v>0</v>
      </c>
    </row>
    <row r="292" spans="1:2">
      <c r="A292" s="9" t="s">
        <v>532</v>
      </c>
      <c r="B292" s="9">
        <v>0</v>
      </c>
    </row>
    <row r="293" spans="1:2">
      <c r="A293" s="9" t="s">
        <v>493</v>
      </c>
      <c r="B293" s="9">
        <v>-15</v>
      </c>
    </row>
    <row r="294" spans="1:2">
      <c r="A294" s="9" t="s">
        <v>381</v>
      </c>
      <c r="B294" s="9">
        <v>0</v>
      </c>
    </row>
    <row r="295" spans="1:2">
      <c r="A295" s="9" t="s">
        <v>458</v>
      </c>
      <c r="B295" s="9">
        <v>0</v>
      </c>
    </row>
    <row r="296" spans="1:2">
      <c r="A296" s="9" t="s">
        <v>380</v>
      </c>
      <c r="B296" s="9">
        <v>0</v>
      </c>
    </row>
    <row r="297" spans="1:2">
      <c r="A297" s="9" t="s">
        <v>459</v>
      </c>
      <c r="B297" s="9">
        <v>0</v>
      </c>
    </row>
    <row r="298" spans="1:2">
      <c r="A298" s="9" t="s">
        <v>371</v>
      </c>
      <c r="B298" s="9">
        <v>0</v>
      </c>
    </row>
    <row r="299" spans="1:2">
      <c r="A299" s="9" t="s">
        <v>370</v>
      </c>
      <c r="B299" s="9">
        <v>0</v>
      </c>
    </row>
    <row r="300" spans="1:2">
      <c r="A300" s="9" t="s">
        <v>369</v>
      </c>
      <c r="B300" s="9">
        <v>0</v>
      </c>
    </row>
    <row r="301" spans="1:2">
      <c r="A301" s="9" t="s">
        <v>363</v>
      </c>
      <c r="B301" s="9">
        <v>0</v>
      </c>
    </row>
    <row r="302" spans="1:2">
      <c r="A302" s="9" t="s">
        <v>368</v>
      </c>
      <c r="B302" s="9">
        <v>0</v>
      </c>
    </row>
    <row r="303" spans="1:2">
      <c r="A303" s="9" t="s">
        <v>48</v>
      </c>
      <c r="B303" s="9">
        <v>0</v>
      </c>
    </row>
    <row r="304" spans="1:2">
      <c r="A304" s="9" t="s">
        <v>67</v>
      </c>
      <c r="B304" s="9">
        <v>0</v>
      </c>
    </row>
    <row r="305" spans="1:2">
      <c r="A305" s="9" t="s">
        <v>69</v>
      </c>
      <c r="B305" s="9">
        <v>0</v>
      </c>
    </row>
    <row r="306" spans="1:2">
      <c r="A306" s="9" t="s">
        <v>70</v>
      </c>
      <c r="B306" s="9">
        <v>0</v>
      </c>
    </row>
    <row r="307" spans="1:2">
      <c r="A307" s="9" t="s">
        <v>308</v>
      </c>
      <c r="B307" s="9">
        <v>0</v>
      </c>
    </row>
    <row r="308" spans="1:2">
      <c r="A308" s="9" t="s">
        <v>285</v>
      </c>
      <c r="B308" s="9">
        <v>0</v>
      </c>
    </row>
    <row r="309" spans="1:2">
      <c r="A309" s="9" t="s">
        <v>310</v>
      </c>
      <c r="B309" s="9">
        <v>0</v>
      </c>
    </row>
    <row r="310" spans="1:2">
      <c r="A310" s="9" t="s">
        <v>450</v>
      </c>
      <c r="B310" s="9">
        <v>0</v>
      </c>
    </row>
    <row r="311" spans="1:2">
      <c r="A311" s="9" t="s">
        <v>39</v>
      </c>
      <c r="B311" s="9">
        <v>-3</v>
      </c>
    </row>
    <row r="312" spans="1:2">
      <c r="A312" s="9" t="s">
        <v>311</v>
      </c>
      <c r="B312" s="9">
        <v>0</v>
      </c>
    </row>
    <row r="313" spans="1:2">
      <c r="A313" s="9" t="s">
        <v>583</v>
      </c>
      <c r="B313" s="9">
        <v>0</v>
      </c>
    </row>
    <row r="314" spans="1:2">
      <c r="A314" s="9" t="s">
        <v>314</v>
      </c>
      <c r="B314" s="9">
        <v>0</v>
      </c>
    </row>
    <row r="315" spans="1:2">
      <c r="A315" s="9" t="s">
        <v>313</v>
      </c>
      <c r="B315" s="9">
        <v>0</v>
      </c>
    </row>
    <row r="316" spans="1:2">
      <c r="A316" s="9" t="s">
        <v>315</v>
      </c>
      <c r="B316" s="9">
        <v>0</v>
      </c>
    </row>
    <row r="317" spans="1:2">
      <c r="A317" s="9" t="s">
        <v>75</v>
      </c>
      <c r="B317" s="9">
        <v>0</v>
      </c>
    </row>
    <row r="318" spans="1:2">
      <c r="A318" s="9" t="s">
        <v>316</v>
      </c>
      <c r="B318" s="9">
        <v>0</v>
      </c>
    </row>
    <row r="319" spans="1:2">
      <c r="A319" s="9" t="s">
        <v>317</v>
      </c>
      <c r="B319" s="9">
        <v>0</v>
      </c>
    </row>
    <row r="320" spans="1:2">
      <c r="A320" s="9" t="s">
        <v>318</v>
      </c>
      <c r="B320" s="9">
        <v>0</v>
      </c>
    </row>
    <row r="321" spans="1:2">
      <c r="A321" s="9" t="s">
        <v>558</v>
      </c>
      <c r="B321" s="9">
        <v>0</v>
      </c>
    </row>
    <row r="322" spans="1:2">
      <c r="A322" s="9" t="s">
        <v>319</v>
      </c>
      <c r="B322" s="9">
        <v>0</v>
      </c>
    </row>
    <row r="323" spans="1:2">
      <c r="A323" s="9" t="s">
        <v>320</v>
      </c>
      <c r="B323" s="9">
        <v>0</v>
      </c>
    </row>
    <row r="324" spans="1:2">
      <c r="A324" s="9" t="s">
        <v>461</v>
      </c>
      <c r="B324" s="9">
        <v>0</v>
      </c>
    </row>
    <row r="325" spans="1:2">
      <c r="A325" s="9" t="s">
        <v>321</v>
      </c>
      <c r="B325" s="9">
        <v>0</v>
      </c>
    </row>
    <row r="326" spans="1:2">
      <c r="A326" s="9" t="s">
        <v>76</v>
      </c>
      <c r="B326" s="9">
        <v>0</v>
      </c>
    </row>
    <row r="327" spans="1:2">
      <c r="A327" s="9" t="s">
        <v>322</v>
      </c>
      <c r="B327" s="9">
        <v>0</v>
      </c>
    </row>
    <row r="328" spans="1:2">
      <c r="A328" s="9" t="s">
        <v>324</v>
      </c>
      <c r="B328" s="9">
        <v>0</v>
      </c>
    </row>
    <row r="329" spans="1:2">
      <c r="A329" s="9" t="s">
        <v>323</v>
      </c>
      <c r="B329" s="9">
        <v>0</v>
      </c>
    </row>
    <row r="330" spans="1:2">
      <c r="A330" s="9" t="s">
        <v>282</v>
      </c>
      <c r="B330" s="9">
        <v>0</v>
      </c>
    </row>
    <row r="331" spans="1:2">
      <c r="A331" s="9" t="s">
        <v>559</v>
      </c>
      <c r="B331" s="9">
        <v>0</v>
      </c>
    </row>
    <row r="332" spans="1:2">
      <c r="A332" s="9" t="s">
        <v>326</v>
      </c>
      <c r="B332" s="9">
        <v>0</v>
      </c>
    </row>
    <row r="333" spans="1:2">
      <c r="A333" s="9" t="s">
        <v>325</v>
      </c>
      <c r="B333" s="9">
        <v>0</v>
      </c>
    </row>
    <row r="334" spans="1:2">
      <c r="A334" s="9" t="s">
        <v>327</v>
      </c>
      <c r="B334" s="9">
        <v>0</v>
      </c>
    </row>
    <row r="335" spans="1:2">
      <c r="A335" s="9" t="s">
        <v>329</v>
      </c>
      <c r="B335" s="9">
        <v>0</v>
      </c>
    </row>
    <row r="336" spans="1:2">
      <c r="A336" s="9" t="s">
        <v>328</v>
      </c>
      <c r="B336" s="9">
        <v>0</v>
      </c>
    </row>
    <row r="337" spans="1:2">
      <c r="A337" s="9" t="s">
        <v>330</v>
      </c>
      <c r="B337" s="9">
        <v>0</v>
      </c>
    </row>
    <row r="338" spans="1:2">
      <c r="A338" s="9" t="s">
        <v>417</v>
      </c>
      <c r="B338" s="9">
        <v>0</v>
      </c>
    </row>
    <row r="339" spans="1:2">
      <c r="A339" s="9" t="s">
        <v>331</v>
      </c>
      <c r="B339" s="9">
        <v>0</v>
      </c>
    </row>
    <row r="340" spans="1:2">
      <c r="A340" s="9" t="s">
        <v>77</v>
      </c>
      <c r="B340" s="9">
        <v>0</v>
      </c>
    </row>
    <row r="341" spans="1:2">
      <c r="A341" s="9" t="s">
        <v>332</v>
      </c>
      <c r="B341" s="9">
        <v>0</v>
      </c>
    </row>
    <row r="342" spans="1:2">
      <c r="A342" s="9" t="s">
        <v>634</v>
      </c>
      <c r="B342" s="9">
        <v>-14</v>
      </c>
    </row>
    <row r="343" spans="1:2">
      <c r="A343" s="9" t="s">
        <v>334</v>
      </c>
      <c r="B343" s="9">
        <v>0</v>
      </c>
    </row>
    <row r="344" spans="1:2">
      <c r="A344" s="9" t="s">
        <v>333</v>
      </c>
      <c r="B344" s="9">
        <v>0</v>
      </c>
    </row>
    <row r="345" spans="1:2">
      <c r="A345" s="9" t="s">
        <v>335</v>
      </c>
      <c r="B345" s="9">
        <v>0</v>
      </c>
    </row>
    <row r="346" spans="1:2">
      <c r="A346" s="9" t="s">
        <v>61</v>
      </c>
      <c r="B346" s="9">
        <v>0</v>
      </c>
    </row>
    <row r="347" spans="1:2">
      <c r="A347" s="9" t="s">
        <v>336</v>
      </c>
      <c r="B347" s="9">
        <v>0</v>
      </c>
    </row>
    <row r="348" spans="1:2">
      <c r="A348" s="9" t="s">
        <v>554</v>
      </c>
      <c r="B348" s="9">
        <v>0</v>
      </c>
    </row>
    <row r="349" spans="1:2">
      <c r="A349" s="9" t="s">
        <v>337</v>
      </c>
      <c r="B349" s="9">
        <v>0</v>
      </c>
    </row>
    <row r="350" spans="1:2">
      <c r="A350" s="9" t="s">
        <v>488</v>
      </c>
      <c r="B350" s="9">
        <v>8</v>
      </c>
    </row>
    <row r="351" spans="1:2">
      <c r="A351" s="9" t="s">
        <v>338</v>
      </c>
      <c r="B351" s="9">
        <v>0</v>
      </c>
    </row>
    <row r="352" spans="1:2">
      <c r="A352" s="9" t="s">
        <v>463</v>
      </c>
      <c r="B352" s="9">
        <v>0</v>
      </c>
    </row>
    <row r="353" spans="1:2">
      <c r="A353" s="9" t="s">
        <v>339</v>
      </c>
      <c r="B353" s="9">
        <v>0</v>
      </c>
    </row>
    <row r="354" spans="1:2">
      <c r="A354" s="9" t="s">
        <v>340</v>
      </c>
      <c r="B354" s="9">
        <v>0</v>
      </c>
    </row>
    <row r="355" spans="1:2">
      <c r="A355" s="9" t="s">
        <v>394</v>
      </c>
      <c r="B355" s="9">
        <v>0</v>
      </c>
    </row>
    <row r="356" spans="1:2">
      <c r="A356" s="9" t="s">
        <v>62</v>
      </c>
      <c r="B356" s="9">
        <v>0</v>
      </c>
    </row>
    <row r="357" spans="1:2">
      <c r="A357" s="9" t="s">
        <v>343</v>
      </c>
      <c r="B357" s="9">
        <v>0</v>
      </c>
    </row>
    <row r="358" spans="1:2">
      <c r="A358" s="9" t="s">
        <v>345</v>
      </c>
      <c r="B358" s="9">
        <v>0</v>
      </c>
    </row>
    <row r="359" spans="1:2">
      <c r="A359" s="9" t="s">
        <v>344</v>
      </c>
      <c r="B359" s="9">
        <v>0</v>
      </c>
    </row>
    <row r="360" spans="1:2">
      <c r="A360" s="9" t="s">
        <v>127</v>
      </c>
      <c r="B360" s="9">
        <v>15</v>
      </c>
    </row>
    <row r="361" spans="1:2">
      <c r="A361" s="9" t="s">
        <v>88</v>
      </c>
      <c r="B361" s="9">
        <v>0</v>
      </c>
    </row>
    <row r="362" spans="1:2">
      <c r="A362" s="9" t="s">
        <v>89</v>
      </c>
      <c r="B362" s="9">
        <v>0</v>
      </c>
    </row>
    <row r="363" spans="1:2">
      <c r="A363" s="9" t="s">
        <v>157</v>
      </c>
      <c r="B363" s="9">
        <v>0</v>
      </c>
    </row>
    <row r="364" spans="1:2">
      <c r="A364" s="9" t="s">
        <v>481</v>
      </c>
      <c r="B364" s="9">
        <v>0</v>
      </c>
    </row>
    <row r="365" spans="1:2">
      <c r="A365" s="9" t="s">
        <v>124</v>
      </c>
      <c r="B365" s="9">
        <v>-6</v>
      </c>
    </row>
    <row r="366" spans="1:2">
      <c r="A366" s="9" t="s">
        <v>147</v>
      </c>
      <c r="B366" s="9">
        <v>0</v>
      </c>
    </row>
    <row r="367" spans="1:2">
      <c r="A367" s="9" t="s">
        <v>615</v>
      </c>
      <c r="B367" s="9">
        <v>17</v>
      </c>
    </row>
    <row r="368" spans="1:2">
      <c r="A368" s="9" t="s">
        <v>158</v>
      </c>
      <c r="B368" s="9">
        <v>0</v>
      </c>
    </row>
    <row r="369" spans="1:2">
      <c r="A369" s="9" t="s">
        <v>159</v>
      </c>
      <c r="B369" s="9">
        <v>0</v>
      </c>
    </row>
    <row r="370" spans="1:2">
      <c r="A370" s="9" t="s">
        <v>90</v>
      </c>
      <c r="B370" s="9">
        <v>0</v>
      </c>
    </row>
    <row r="371" spans="1:2">
      <c r="A371" s="9" t="s">
        <v>160</v>
      </c>
      <c r="B371" s="9">
        <v>0</v>
      </c>
    </row>
    <row r="372" spans="1:2">
      <c r="A372" s="9" t="s">
        <v>161</v>
      </c>
      <c r="B372" s="9">
        <v>0</v>
      </c>
    </row>
    <row r="373" spans="1:2">
      <c r="A373" s="9" t="s">
        <v>162</v>
      </c>
      <c r="B373" s="9">
        <v>0</v>
      </c>
    </row>
    <row r="374" spans="1:2">
      <c r="A374" s="9" t="s">
        <v>163</v>
      </c>
      <c r="B374" s="9">
        <v>8</v>
      </c>
    </row>
    <row r="375" spans="1:2">
      <c r="A375" s="9" t="s">
        <v>164</v>
      </c>
      <c r="B375" s="9">
        <v>0</v>
      </c>
    </row>
    <row r="376" spans="1:2">
      <c r="A376" s="9" t="s">
        <v>577</v>
      </c>
      <c r="B376" s="9">
        <v>0</v>
      </c>
    </row>
    <row r="377" spans="1:2">
      <c r="A377" s="9" t="s">
        <v>598</v>
      </c>
      <c r="B377" s="9">
        <v>0</v>
      </c>
    </row>
    <row r="378" spans="1:2">
      <c r="A378" s="9" t="s">
        <v>138</v>
      </c>
      <c r="B378" s="9">
        <v>32</v>
      </c>
    </row>
    <row r="379" spans="1:2">
      <c r="A379" s="9" t="s">
        <v>467</v>
      </c>
      <c r="B379" s="9">
        <v>0</v>
      </c>
    </row>
    <row r="380" spans="1:2">
      <c r="A380" s="9" t="s">
        <v>165</v>
      </c>
      <c r="B380" s="9">
        <v>0</v>
      </c>
    </row>
    <row r="381" spans="1:2">
      <c r="A381" s="9" t="s">
        <v>93</v>
      </c>
      <c r="B381" s="9">
        <v>0</v>
      </c>
    </row>
    <row r="382" spans="1:2">
      <c r="A382" s="9" t="s">
        <v>150</v>
      </c>
      <c r="B382" s="9">
        <v>0</v>
      </c>
    </row>
    <row r="383" spans="1:2">
      <c r="A383" s="9" t="s">
        <v>166</v>
      </c>
      <c r="B383" s="9">
        <v>0</v>
      </c>
    </row>
    <row r="384" spans="1:2">
      <c r="A384" s="9" t="s">
        <v>167</v>
      </c>
      <c r="B384" s="9">
        <v>0</v>
      </c>
    </row>
    <row r="385" spans="1:2">
      <c r="A385" s="9" t="s">
        <v>94</v>
      </c>
      <c r="B385" s="9">
        <v>0</v>
      </c>
    </row>
    <row r="386" spans="1:2">
      <c r="A386" s="9" t="s">
        <v>95</v>
      </c>
      <c r="B386" s="9">
        <v>0</v>
      </c>
    </row>
    <row r="387" spans="1:2">
      <c r="A387" s="9" t="s">
        <v>168</v>
      </c>
      <c r="B387" s="9">
        <v>0</v>
      </c>
    </row>
    <row r="388" spans="1:2">
      <c r="A388" s="9" t="s">
        <v>194</v>
      </c>
      <c r="B388" s="9">
        <v>0</v>
      </c>
    </row>
    <row r="389" spans="1:2">
      <c r="A389" s="9" t="s">
        <v>195</v>
      </c>
      <c r="B389" s="9">
        <v>0</v>
      </c>
    </row>
    <row r="390" spans="1:2">
      <c r="A390" s="9" t="s">
        <v>465</v>
      </c>
      <c r="B390" s="9">
        <v>0</v>
      </c>
    </row>
    <row r="391" spans="1:2">
      <c r="A391" s="9" t="s">
        <v>446</v>
      </c>
      <c r="B391" s="9">
        <v>32</v>
      </c>
    </row>
    <row r="392" spans="1:2">
      <c r="A392" s="9" t="s">
        <v>198</v>
      </c>
      <c r="B392" s="9">
        <v>0</v>
      </c>
    </row>
    <row r="393" spans="1:2">
      <c r="A393" s="9" t="s">
        <v>197</v>
      </c>
      <c r="B393" s="9">
        <v>0</v>
      </c>
    </row>
    <row r="394" spans="1:2">
      <c r="A394" s="9" t="s">
        <v>96</v>
      </c>
      <c r="B394" s="9">
        <v>0</v>
      </c>
    </row>
    <row r="395" spans="1:2">
      <c r="A395" s="9" t="s">
        <v>474</v>
      </c>
      <c r="B395" s="9">
        <v>0</v>
      </c>
    </row>
    <row r="396" spans="1:2">
      <c r="A396" s="9" t="s">
        <v>199</v>
      </c>
      <c r="B396" s="9">
        <v>0</v>
      </c>
    </row>
    <row r="397" spans="1:2">
      <c r="A397" s="9" t="s">
        <v>596</v>
      </c>
      <c r="B397" s="9">
        <v>0</v>
      </c>
    </row>
    <row r="398" spans="1:2">
      <c r="A398" s="9" t="s">
        <v>200</v>
      </c>
      <c r="B398" s="9">
        <v>0</v>
      </c>
    </row>
    <row r="399" spans="1:2">
      <c r="A399" s="9" t="s">
        <v>466</v>
      </c>
      <c r="B399" s="9">
        <v>0</v>
      </c>
    </row>
    <row r="400" spans="1:2">
      <c r="A400" s="9" t="s">
        <v>201</v>
      </c>
      <c r="B400" s="9">
        <v>0</v>
      </c>
    </row>
    <row r="401" spans="1:2">
      <c r="A401" s="9" t="s">
        <v>595</v>
      </c>
      <c r="B401" s="9">
        <v>0</v>
      </c>
    </row>
    <row r="402" spans="1:2">
      <c r="A402" s="9" t="s">
        <v>122</v>
      </c>
      <c r="B402" s="9">
        <v>-9</v>
      </c>
    </row>
    <row r="403" spans="1:2">
      <c r="A403" s="9" t="s">
        <v>78</v>
      </c>
      <c r="B403" s="9">
        <v>0</v>
      </c>
    </row>
    <row r="404" spans="1:2">
      <c r="A404" s="9" t="s">
        <v>594</v>
      </c>
      <c r="B404" s="9">
        <v>0</v>
      </c>
    </row>
    <row r="405" spans="1:2">
      <c r="A405" s="9" t="s">
        <v>202</v>
      </c>
      <c r="B405" s="9">
        <v>0</v>
      </c>
    </row>
    <row r="406" spans="1:2">
      <c r="A406" s="9" t="s">
        <v>121</v>
      </c>
      <c r="B406" s="9">
        <v>0</v>
      </c>
    </row>
    <row r="407" spans="1:2">
      <c r="A407" s="9" t="s">
        <v>79</v>
      </c>
      <c r="B407" s="9">
        <v>0</v>
      </c>
    </row>
    <row r="408" spans="1:2">
      <c r="A408" s="9" t="s">
        <v>203</v>
      </c>
      <c r="B408" s="9">
        <v>0</v>
      </c>
    </row>
    <row r="409" spans="1:2">
      <c r="A409" s="9" t="s">
        <v>204</v>
      </c>
      <c r="B409" s="9">
        <v>0</v>
      </c>
    </row>
    <row r="410" spans="1:2">
      <c r="A410" s="9" t="s">
        <v>173</v>
      </c>
      <c r="B410" s="9">
        <v>0</v>
      </c>
    </row>
    <row r="411" spans="1:2">
      <c r="A411" s="9" t="s">
        <v>174</v>
      </c>
      <c r="B411" s="9">
        <v>0</v>
      </c>
    </row>
    <row r="412" spans="1:2">
      <c r="A412" s="9" t="s">
        <v>611</v>
      </c>
      <c r="B412" s="9">
        <v>0</v>
      </c>
    </row>
    <row r="413" spans="1:2">
      <c r="A413" s="9" t="s">
        <v>175</v>
      </c>
      <c r="B413" s="9">
        <v>0</v>
      </c>
    </row>
    <row r="414" spans="1:2">
      <c r="A414" s="9" t="s">
        <v>610</v>
      </c>
      <c r="B414" s="9">
        <v>22</v>
      </c>
    </row>
    <row r="415" spans="1:2">
      <c r="A415" s="9" t="s">
        <v>176</v>
      </c>
      <c r="B415" s="9">
        <v>0</v>
      </c>
    </row>
    <row r="416" spans="1:2">
      <c r="A416" s="9" t="s">
        <v>172</v>
      </c>
      <c r="B416" s="9">
        <v>0</v>
      </c>
    </row>
    <row r="417" spans="1:2">
      <c r="A417" s="9" t="s">
        <v>398</v>
      </c>
      <c r="B417" s="9">
        <v>0</v>
      </c>
    </row>
    <row r="418" spans="1:2">
      <c r="A418" s="9" t="s">
        <v>498</v>
      </c>
      <c r="B418" s="9">
        <v>-13</v>
      </c>
    </row>
    <row r="419" spans="1:2">
      <c r="A419" s="9" t="s">
        <v>177</v>
      </c>
      <c r="B419" s="9">
        <v>0</v>
      </c>
    </row>
    <row r="420" spans="1:2">
      <c r="A420" s="9" t="s">
        <v>178</v>
      </c>
      <c r="B420" s="9">
        <v>0</v>
      </c>
    </row>
    <row r="421" spans="1:2">
      <c r="A421" s="9" t="s">
        <v>432</v>
      </c>
      <c r="B421" s="9">
        <v>29</v>
      </c>
    </row>
    <row r="422" spans="1:2">
      <c r="A422" s="9" t="s">
        <v>609</v>
      </c>
      <c r="B422" s="9">
        <v>0</v>
      </c>
    </row>
    <row r="423" spans="1:2">
      <c r="A423" s="9" t="s">
        <v>180</v>
      </c>
      <c r="B423" s="9">
        <v>0</v>
      </c>
    </row>
    <row r="424" spans="1:2">
      <c r="A424" s="9" t="s">
        <v>179</v>
      </c>
      <c r="B424" s="9">
        <v>0</v>
      </c>
    </row>
    <row r="425" spans="1:2">
      <c r="A425" s="9" t="s">
        <v>182</v>
      </c>
      <c r="B425" s="9">
        <v>0</v>
      </c>
    </row>
    <row r="426" spans="1:2">
      <c r="A426" s="9" t="s">
        <v>181</v>
      </c>
      <c r="B426" s="9">
        <v>0</v>
      </c>
    </row>
    <row r="427" spans="1:2">
      <c r="A427" s="9" t="s">
        <v>497</v>
      </c>
      <c r="B427" s="9">
        <v>0</v>
      </c>
    </row>
    <row r="428" spans="1:2">
      <c r="A428" s="9" t="s">
        <v>183</v>
      </c>
      <c r="B428" s="9">
        <v>0</v>
      </c>
    </row>
    <row r="429" spans="1:2">
      <c r="A429" s="9" t="s">
        <v>355</v>
      </c>
      <c r="B429" s="9">
        <v>0</v>
      </c>
    </row>
    <row r="430" spans="1:2">
      <c r="A430" s="9" t="s">
        <v>170</v>
      </c>
      <c r="B430" s="9">
        <v>0</v>
      </c>
    </row>
    <row r="431" spans="1:2">
      <c r="A431" s="9" t="s">
        <v>397</v>
      </c>
      <c r="B431" s="9">
        <v>0</v>
      </c>
    </row>
    <row r="432" spans="1:2">
      <c r="A432" s="9" t="s">
        <v>185</v>
      </c>
      <c r="B432" s="9">
        <v>0</v>
      </c>
    </row>
    <row r="433" spans="1:2">
      <c r="A433" s="9" t="s">
        <v>612</v>
      </c>
      <c r="B433" s="9">
        <v>0</v>
      </c>
    </row>
    <row r="434" spans="1:2">
      <c r="A434" s="9" t="s">
        <v>169</v>
      </c>
      <c r="B434" s="9">
        <v>0</v>
      </c>
    </row>
    <row r="435" spans="1:2">
      <c r="A435" s="9" t="s">
        <v>171</v>
      </c>
      <c r="B435" s="9">
        <v>0</v>
      </c>
    </row>
    <row r="436" spans="1:2">
      <c r="A436" s="9" t="s">
        <v>145</v>
      </c>
      <c r="B436" s="9">
        <v>0</v>
      </c>
    </row>
    <row r="437" spans="1:2">
      <c r="A437" s="9" t="s">
        <v>187</v>
      </c>
      <c r="B437" s="9">
        <v>0</v>
      </c>
    </row>
    <row r="438" spans="1:2">
      <c r="A438" s="9" t="s">
        <v>617</v>
      </c>
      <c r="B438" s="9">
        <v>0</v>
      </c>
    </row>
    <row r="439" spans="1:2">
      <c r="A439" s="9" t="s">
        <v>188</v>
      </c>
      <c r="B439" s="9">
        <v>0</v>
      </c>
    </row>
    <row r="440" spans="1:2">
      <c r="A440" s="9" t="s">
        <v>189</v>
      </c>
      <c r="B440" s="9">
        <v>0</v>
      </c>
    </row>
    <row r="441" spans="1:2">
      <c r="A441" s="9" t="s">
        <v>486</v>
      </c>
      <c r="B441" s="9">
        <v>0</v>
      </c>
    </row>
    <row r="442" spans="1:2">
      <c r="A442" s="9" t="s">
        <v>575</v>
      </c>
      <c r="B442" s="9">
        <v>0</v>
      </c>
    </row>
    <row r="443" spans="1:2">
      <c r="A443" s="9" t="s">
        <v>469</v>
      </c>
      <c r="B443" s="9">
        <v>0</v>
      </c>
    </row>
    <row r="444" spans="1:2">
      <c r="A444" s="9" t="s">
        <v>143</v>
      </c>
      <c r="B444" s="9">
        <v>0</v>
      </c>
    </row>
    <row r="445" spans="1:2">
      <c r="A445" s="9" t="s">
        <v>190</v>
      </c>
      <c r="B445" s="9">
        <v>0</v>
      </c>
    </row>
    <row r="446" spans="1:2">
      <c r="A446" s="9" t="s">
        <v>85</v>
      </c>
      <c r="B446" s="9">
        <v>0</v>
      </c>
    </row>
    <row r="447" spans="1:2">
      <c r="A447" s="9" t="s">
        <v>350</v>
      </c>
      <c r="B447" s="9">
        <v>0</v>
      </c>
    </row>
    <row r="448" spans="1:2">
      <c r="A448" s="9" t="s">
        <v>191</v>
      </c>
      <c r="B448" s="9">
        <v>30</v>
      </c>
    </row>
    <row r="449" spans="1:2">
      <c r="A449" s="9" t="s">
        <v>192</v>
      </c>
      <c r="B449" s="9">
        <v>6</v>
      </c>
    </row>
    <row r="450" spans="1:2">
      <c r="A450" s="9" t="s">
        <v>193</v>
      </c>
      <c r="B450" s="9">
        <v>0</v>
      </c>
    </row>
    <row r="451" spans="1:2">
      <c r="A451" s="9" t="s">
        <v>151</v>
      </c>
      <c r="B451" s="9">
        <v>0</v>
      </c>
    </row>
    <row r="452" spans="1:2">
      <c r="A452" s="9" t="s">
        <v>152</v>
      </c>
      <c r="B452" s="9">
        <v>0</v>
      </c>
    </row>
    <row r="453" spans="1:2">
      <c r="A453" s="9" t="s">
        <v>86</v>
      </c>
      <c r="B453" s="9">
        <v>0</v>
      </c>
    </row>
    <row r="454" spans="1:2">
      <c r="A454" s="9" t="s">
        <v>87</v>
      </c>
      <c r="B454" s="9">
        <v>0</v>
      </c>
    </row>
    <row r="455" spans="1:2">
      <c r="A455" s="9" t="s">
        <v>616</v>
      </c>
      <c r="B455" s="9">
        <v>0</v>
      </c>
    </row>
    <row r="456" spans="1:2">
      <c r="A456" s="9" t="s">
        <v>153</v>
      </c>
      <c r="B456" s="9">
        <v>0</v>
      </c>
    </row>
    <row r="457" spans="1:2">
      <c r="A457" s="9" t="s">
        <v>154</v>
      </c>
      <c r="B457" s="9">
        <v>0</v>
      </c>
    </row>
    <row r="458" spans="1:2">
      <c r="A458" s="9" t="s">
        <v>155</v>
      </c>
      <c r="B458" s="9">
        <v>0</v>
      </c>
    </row>
    <row r="459" spans="1:2">
      <c r="A459" s="9" t="s">
        <v>464</v>
      </c>
      <c r="B459" s="9">
        <v>0</v>
      </c>
    </row>
    <row r="460" spans="1:2">
      <c r="A460" s="9" t="s">
        <v>254</v>
      </c>
      <c r="B460" s="9">
        <v>0</v>
      </c>
    </row>
    <row r="461" spans="1:2">
      <c r="A461" s="9" t="s">
        <v>110</v>
      </c>
      <c r="B461" s="9">
        <v>0</v>
      </c>
    </row>
    <row r="462" spans="1:2">
      <c r="A462" s="9" t="s">
        <v>545</v>
      </c>
      <c r="B462" s="9">
        <v>0</v>
      </c>
    </row>
    <row r="463" spans="1:2">
      <c r="A463" s="9" t="s">
        <v>572</v>
      </c>
      <c r="B463" s="9">
        <v>0</v>
      </c>
    </row>
    <row r="464" spans="1:2">
      <c r="A464" s="9" t="s">
        <v>392</v>
      </c>
      <c r="B464" s="9">
        <v>0</v>
      </c>
    </row>
    <row r="465" spans="1:2">
      <c r="A465" s="9" t="s">
        <v>447</v>
      </c>
      <c r="B465" s="9">
        <v>0</v>
      </c>
    </row>
    <row r="466" spans="1:2">
      <c r="A466" s="9" t="s">
        <v>255</v>
      </c>
      <c r="B466" s="9">
        <v>0</v>
      </c>
    </row>
    <row r="467" spans="1:2">
      <c r="A467" s="9" t="s">
        <v>217</v>
      </c>
      <c r="B467" s="9">
        <v>0</v>
      </c>
    </row>
    <row r="468" spans="1:2">
      <c r="A468" s="9" t="s">
        <v>256</v>
      </c>
      <c r="B468" s="9">
        <v>0</v>
      </c>
    </row>
    <row r="469" spans="1:2">
      <c r="A469" s="9" t="s">
        <v>111</v>
      </c>
      <c r="B469" s="9">
        <v>0</v>
      </c>
    </row>
    <row r="470" spans="1:2">
      <c r="A470" s="9" t="s">
        <v>471</v>
      </c>
      <c r="B470" s="9">
        <v>0</v>
      </c>
    </row>
    <row r="471" spans="1:2">
      <c r="A471" s="9" t="s">
        <v>112</v>
      </c>
      <c r="B471" s="9">
        <v>0</v>
      </c>
    </row>
    <row r="472" spans="1:2">
      <c r="A472" s="9" t="s">
        <v>635</v>
      </c>
      <c r="B472" s="9">
        <v>0</v>
      </c>
    </row>
    <row r="473" spans="1:2">
      <c r="A473" s="9" t="s">
        <v>548</v>
      </c>
      <c r="B473" s="9">
        <v>0</v>
      </c>
    </row>
    <row r="474" spans="1:2">
      <c r="A474" s="9" t="s">
        <v>113</v>
      </c>
      <c r="B474" s="9">
        <v>0</v>
      </c>
    </row>
    <row r="475" spans="1:2">
      <c r="A475" s="9" t="s">
        <v>500</v>
      </c>
      <c r="B475" s="9">
        <v>0</v>
      </c>
    </row>
    <row r="476" spans="1:2">
      <c r="A476" s="9" t="s">
        <v>549</v>
      </c>
      <c r="B476" s="9">
        <v>0</v>
      </c>
    </row>
    <row r="477" spans="1:2">
      <c r="A477" s="9" t="s">
        <v>114</v>
      </c>
      <c r="B477" s="9">
        <v>0</v>
      </c>
    </row>
    <row r="478" spans="1:2">
      <c r="A478" s="9" t="s">
        <v>473</v>
      </c>
      <c r="B478" s="9">
        <v>0</v>
      </c>
    </row>
    <row r="479" spans="1:2">
      <c r="A479" s="9" t="s">
        <v>574</v>
      </c>
      <c r="B479" s="9">
        <v>0</v>
      </c>
    </row>
    <row r="480" spans="1:2">
      <c r="A480" s="9" t="s">
        <v>414</v>
      </c>
      <c r="B480" s="9">
        <v>3</v>
      </c>
    </row>
    <row r="481" spans="1:2">
      <c r="A481" s="9" t="s">
        <v>97</v>
      </c>
      <c r="B481" s="9">
        <v>0</v>
      </c>
    </row>
    <row r="482" spans="1:2">
      <c r="A482" s="9" t="s">
        <v>406</v>
      </c>
      <c r="B482" s="9">
        <v>0</v>
      </c>
    </row>
    <row r="483" spans="1:2">
      <c r="A483" s="9" t="s">
        <v>98</v>
      </c>
      <c r="B483" s="9">
        <v>0</v>
      </c>
    </row>
    <row r="484" spans="1:2">
      <c r="A484" s="9" t="s">
        <v>259</v>
      </c>
      <c r="B484" s="9">
        <v>0</v>
      </c>
    </row>
    <row r="485" spans="1:2">
      <c r="A485" s="9" t="s">
        <v>552</v>
      </c>
      <c r="B485" s="9">
        <v>0</v>
      </c>
    </row>
    <row r="486" spans="1:2">
      <c r="A486" s="9" t="s">
        <v>29</v>
      </c>
      <c r="B486" s="9">
        <v>-10</v>
      </c>
    </row>
    <row r="487" spans="1:2">
      <c r="A487" s="9" t="s">
        <v>100</v>
      </c>
      <c r="B487" s="9">
        <v>0</v>
      </c>
    </row>
    <row r="488" spans="1:2">
      <c r="A488" s="9" t="s">
        <v>99</v>
      </c>
      <c r="B488" s="9">
        <v>17</v>
      </c>
    </row>
    <row r="489" spans="1:2">
      <c r="A489" s="9" t="s">
        <v>262</v>
      </c>
      <c r="B489" s="9">
        <v>0</v>
      </c>
    </row>
    <row r="490" spans="1:2">
      <c r="A490" s="9" t="s">
        <v>101</v>
      </c>
      <c r="B490" s="9">
        <v>0</v>
      </c>
    </row>
    <row r="491" spans="1:2">
      <c r="A491" s="9" t="s">
        <v>499</v>
      </c>
      <c r="B491" s="9">
        <v>0</v>
      </c>
    </row>
    <row r="492" spans="1:2">
      <c r="A492" s="9" t="s">
        <v>102</v>
      </c>
      <c r="B492" s="9">
        <v>0</v>
      </c>
    </row>
    <row r="493" spans="1:2">
      <c r="A493" s="9" t="s">
        <v>263</v>
      </c>
      <c r="B493" s="9">
        <v>0</v>
      </c>
    </row>
    <row r="494" spans="1:2">
      <c r="A494" s="9" t="s">
        <v>525</v>
      </c>
      <c r="B494" s="9">
        <v>0</v>
      </c>
    </row>
    <row r="495" spans="1:2">
      <c r="A495" s="9" t="s">
        <v>264</v>
      </c>
      <c r="B495" s="9">
        <v>0</v>
      </c>
    </row>
    <row r="496" spans="1:2">
      <c r="A496" s="9" t="s">
        <v>510</v>
      </c>
      <c r="B496" s="9">
        <v>0</v>
      </c>
    </row>
    <row r="497" spans="1:2">
      <c r="A497" s="9" t="s">
        <v>526</v>
      </c>
      <c r="B497" s="9">
        <v>0</v>
      </c>
    </row>
    <row r="498" spans="1:2">
      <c r="A498" s="9" t="s">
        <v>400</v>
      </c>
      <c r="B498" s="9">
        <v>0</v>
      </c>
    </row>
    <row r="499" spans="1:2">
      <c r="A499" s="9" t="s">
        <v>587</v>
      </c>
      <c r="B499" s="9">
        <v>0</v>
      </c>
    </row>
    <row r="500" spans="1:2">
      <c r="A500" s="9" t="s">
        <v>527</v>
      </c>
      <c r="B500" s="9">
        <v>0</v>
      </c>
    </row>
    <row r="501" spans="1:2">
      <c r="A501" s="9" t="s">
        <v>529</v>
      </c>
      <c r="B501" s="9">
        <v>0</v>
      </c>
    </row>
    <row r="502" spans="1:2">
      <c r="A502" s="9" t="s">
        <v>347</v>
      </c>
      <c r="B502" s="9">
        <v>0</v>
      </c>
    </row>
    <row r="503" spans="1:2">
      <c r="A503" s="9" t="s">
        <v>231</v>
      </c>
      <c r="B503" s="9">
        <v>0</v>
      </c>
    </row>
    <row r="504" spans="1:2">
      <c r="A504" s="9" t="s">
        <v>224</v>
      </c>
      <c r="B504" s="9">
        <v>0</v>
      </c>
    </row>
    <row r="505" spans="1:2">
      <c r="A505" s="9" t="s">
        <v>530</v>
      </c>
      <c r="B505" s="9">
        <v>0</v>
      </c>
    </row>
    <row r="506" spans="1:2">
      <c r="A506" s="9" t="s">
        <v>232</v>
      </c>
      <c r="B506" s="9">
        <v>0</v>
      </c>
    </row>
    <row r="507" spans="1:2">
      <c r="A507" s="9" t="s">
        <v>233</v>
      </c>
      <c r="B507" s="9">
        <v>0</v>
      </c>
    </row>
    <row r="508" spans="1:2">
      <c r="A508" s="9" t="s">
        <v>501</v>
      </c>
      <c r="B508" s="9">
        <v>0</v>
      </c>
    </row>
    <row r="509" spans="1:2">
      <c r="A509" s="9" t="s">
        <v>495</v>
      </c>
      <c r="B509" s="9">
        <v>0</v>
      </c>
    </row>
    <row r="510" spans="1:2">
      <c r="A510" s="9" t="s">
        <v>593</v>
      </c>
      <c r="B510" s="9">
        <v>0</v>
      </c>
    </row>
    <row r="511" spans="1:2">
      <c r="A511" s="9" t="s">
        <v>80</v>
      </c>
      <c r="B511" s="9">
        <v>0</v>
      </c>
    </row>
    <row r="512" spans="1:2">
      <c r="A512" s="9" t="s">
        <v>81</v>
      </c>
      <c r="B512" s="9">
        <v>0</v>
      </c>
    </row>
    <row r="513" spans="1:2">
      <c r="A513" s="9" t="s">
        <v>205</v>
      </c>
      <c r="B513" s="9">
        <v>0</v>
      </c>
    </row>
    <row r="514" spans="1:2">
      <c r="A514" s="9" t="s">
        <v>82</v>
      </c>
      <c r="B514" s="9">
        <v>0</v>
      </c>
    </row>
    <row r="515" spans="1:2">
      <c r="A515" s="9" t="s">
        <v>401</v>
      </c>
      <c r="B515" s="9">
        <v>0</v>
      </c>
    </row>
    <row r="516" spans="1:2">
      <c r="A516" s="9" t="s">
        <v>608</v>
      </c>
      <c r="B516" s="9">
        <v>-4</v>
      </c>
    </row>
    <row r="517" spans="1:2">
      <c r="A517" s="9" t="s">
        <v>569</v>
      </c>
      <c r="B517" s="9">
        <v>0</v>
      </c>
    </row>
    <row r="518" spans="1:2">
      <c r="A518" s="9" t="s">
        <v>206</v>
      </c>
      <c r="B518" s="9">
        <v>0</v>
      </c>
    </row>
    <row r="519" spans="1:2">
      <c r="A519" s="9" t="s">
        <v>208</v>
      </c>
      <c r="B519" s="9">
        <v>0</v>
      </c>
    </row>
    <row r="520" spans="1:2">
      <c r="A520" s="9" t="s">
        <v>207</v>
      </c>
      <c r="B520" s="9">
        <v>0</v>
      </c>
    </row>
    <row r="521" spans="1:2">
      <c r="A521" s="9" t="s">
        <v>607</v>
      </c>
      <c r="B521" s="9">
        <v>0</v>
      </c>
    </row>
    <row r="522" spans="1:2">
      <c r="A522" s="9" t="s">
        <v>209</v>
      </c>
      <c r="B522" s="9">
        <v>0</v>
      </c>
    </row>
    <row r="523" spans="1:2">
      <c r="A523" s="9" t="s">
        <v>83</v>
      </c>
      <c r="B523" s="9">
        <v>0</v>
      </c>
    </row>
    <row r="524" spans="1:2">
      <c r="A524" s="9" t="s">
        <v>84</v>
      </c>
      <c r="B524" s="9">
        <v>0</v>
      </c>
    </row>
    <row r="525" spans="1:2">
      <c r="A525" s="9" t="s">
        <v>266</v>
      </c>
      <c r="B525" s="9">
        <v>-14</v>
      </c>
    </row>
    <row r="526" spans="1:2">
      <c r="A526" s="9" t="s">
        <v>492</v>
      </c>
      <c r="B526" s="9">
        <v>30</v>
      </c>
    </row>
    <row r="527" spans="1:2">
      <c r="A527" s="9" t="s">
        <v>476</v>
      </c>
      <c r="B527" s="9">
        <v>0</v>
      </c>
    </row>
    <row r="528" spans="1:2">
      <c r="A528" s="9" t="s">
        <v>606</v>
      </c>
      <c r="B528" s="9">
        <v>0</v>
      </c>
    </row>
    <row r="529" spans="1:2">
      <c r="A529" s="9" t="s">
        <v>517</v>
      </c>
      <c r="B529" s="9">
        <v>0</v>
      </c>
    </row>
    <row r="530" spans="1:2">
      <c r="A530" s="9" t="s">
        <v>636</v>
      </c>
      <c r="B530" s="9">
        <v>0</v>
      </c>
    </row>
    <row r="531" spans="1:2">
      <c r="A531" s="9" t="s">
        <v>435</v>
      </c>
      <c r="B531" s="9">
        <v>12</v>
      </c>
    </row>
    <row r="532" spans="1:2">
      <c r="A532" s="9" t="s">
        <v>267</v>
      </c>
      <c r="B532" s="9">
        <v>0</v>
      </c>
    </row>
    <row r="533" spans="1:2">
      <c r="A533" s="9" t="s">
        <v>268</v>
      </c>
      <c r="B533" s="9">
        <v>0</v>
      </c>
    </row>
    <row r="534" spans="1:2">
      <c r="A534" s="9" t="s">
        <v>269</v>
      </c>
      <c r="B534" s="9">
        <v>0</v>
      </c>
    </row>
    <row r="535" spans="1:2">
      <c r="A535" s="9" t="s">
        <v>604</v>
      </c>
      <c r="B535" s="9">
        <v>0</v>
      </c>
    </row>
    <row r="536" spans="1:2">
      <c r="A536" s="9" t="s">
        <v>402</v>
      </c>
      <c r="B536" s="9">
        <v>0</v>
      </c>
    </row>
    <row r="537" spans="1:2">
      <c r="A537" s="9" t="s">
        <v>42</v>
      </c>
      <c r="B537" s="9">
        <v>-14</v>
      </c>
    </row>
    <row r="538" spans="1:2">
      <c r="A538" s="9" t="s">
        <v>426</v>
      </c>
      <c r="B538" s="9">
        <v>0</v>
      </c>
    </row>
    <row r="539" spans="1:2">
      <c r="A539" s="9" t="s">
        <v>106</v>
      </c>
      <c r="B539" s="9">
        <v>0</v>
      </c>
    </row>
    <row r="540" spans="1:2">
      <c r="A540" s="9" t="s">
        <v>352</v>
      </c>
      <c r="B540" s="9">
        <v>0</v>
      </c>
    </row>
    <row r="541" spans="1:2">
      <c r="A541" s="9" t="s">
        <v>502</v>
      </c>
      <c r="B541" s="9">
        <v>0</v>
      </c>
    </row>
    <row r="542" spans="1:2">
      <c r="A542" s="9" t="s">
        <v>403</v>
      </c>
      <c r="B542" s="9">
        <v>0</v>
      </c>
    </row>
    <row r="543" spans="1:2">
      <c r="A543" s="9" t="s">
        <v>601</v>
      </c>
      <c r="B543" s="9">
        <v>17</v>
      </c>
    </row>
    <row r="544" spans="1:2">
      <c r="A544" s="9" t="s">
        <v>571</v>
      </c>
      <c r="B544" s="9">
        <v>0</v>
      </c>
    </row>
    <row r="545" spans="1:2">
      <c r="A545" s="9" t="s">
        <v>503</v>
      </c>
      <c r="B545" s="9">
        <v>0</v>
      </c>
    </row>
    <row r="546" spans="1:2">
      <c r="A546" s="9" t="s">
        <v>107</v>
      </c>
      <c r="B546" s="9">
        <v>0</v>
      </c>
    </row>
    <row r="547" spans="1:2">
      <c r="A547" s="9" t="s">
        <v>249</v>
      </c>
      <c r="B547" s="9">
        <v>0</v>
      </c>
    </row>
    <row r="548" spans="1:2">
      <c r="A548" s="9" t="s">
        <v>433</v>
      </c>
      <c r="B548" s="9">
        <v>47</v>
      </c>
    </row>
    <row r="549" spans="1:2">
      <c r="A549" s="9" t="s">
        <v>353</v>
      </c>
      <c r="B549" s="9">
        <v>0</v>
      </c>
    </row>
    <row r="550" spans="1:2">
      <c r="A550" s="9" t="s">
        <v>108</v>
      </c>
      <c r="B550" s="9">
        <v>0</v>
      </c>
    </row>
    <row r="551" spans="1:2">
      <c r="A551" s="9" t="s">
        <v>440</v>
      </c>
      <c r="B551" s="9">
        <v>0</v>
      </c>
    </row>
    <row r="552" spans="1:2">
      <c r="A552" s="9" t="s">
        <v>504</v>
      </c>
      <c r="B552" s="9">
        <v>0</v>
      </c>
    </row>
    <row r="553" spans="1:2">
      <c r="A553" s="9" t="s">
        <v>599</v>
      </c>
      <c r="B553" s="9">
        <v>32</v>
      </c>
    </row>
    <row r="554" spans="1:2">
      <c r="A554" s="9" t="s">
        <v>637</v>
      </c>
      <c r="B554" s="9">
        <v>-14</v>
      </c>
    </row>
    <row r="555" spans="1:2">
      <c r="A555" s="9" t="s">
        <v>475</v>
      </c>
      <c r="B555" s="9">
        <v>0</v>
      </c>
    </row>
    <row r="556" spans="1:2">
      <c r="A556" s="9" t="s">
        <v>404</v>
      </c>
      <c r="B556" s="9">
        <v>0</v>
      </c>
    </row>
    <row r="557" spans="1:2">
      <c r="A557" s="9" t="s">
        <v>470</v>
      </c>
      <c r="B557" s="9">
        <v>0</v>
      </c>
    </row>
    <row r="558" spans="1:2">
      <c r="A558" s="9" t="s">
        <v>544</v>
      </c>
      <c r="B558" s="9">
        <v>0</v>
      </c>
    </row>
    <row r="559" spans="1:2">
      <c r="A559" s="9" t="s">
        <v>109</v>
      </c>
      <c r="B559" s="9">
        <v>0</v>
      </c>
    </row>
    <row r="560" spans="1:2">
      <c r="A560" s="9" t="s">
        <v>638</v>
      </c>
      <c r="B560" s="9">
        <v>-8</v>
      </c>
    </row>
    <row r="561" spans="1:2">
      <c r="A561" s="9" t="s">
        <v>639</v>
      </c>
      <c r="B561" s="9">
        <v>0</v>
      </c>
    </row>
    <row r="562" spans="1:2">
      <c r="A562" s="9" t="s">
        <v>639</v>
      </c>
      <c r="B562" s="9">
        <v>0</v>
      </c>
    </row>
    <row r="563" spans="1:2">
      <c r="A563" s="9" t="s">
        <v>639</v>
      </c>
      <c r="B563" s="9">
        <v>0</v>
      </c>
    </row>
    <row r="564" spans="1:2">
      <c r="A564" s="9" t="s">
        <v>639</v>
      </c>
      <c r="B564" s="9">
        <v>0</v>
      </c>
    </row>
    <row r="565" spans="1:2">
      <c r="A565" s="9" t="s">
        <v>639</v>
      </c>
      <c r="B565" s="9">
        <v>0</v>
      </c>
    </row>
    <row r="566" spans="1:2">
      <c r="A566" s="9" t="s">
        <v>639</v>
      </c>
      <c r="B566" s="9">
        <v>0</v>
      </c>
    </row>
    <row r="567" spans="1:2">
      <c r="A567" s="9" t="s">
        <v>639</v>
      </c>
      <c r="B567" s="9">
        <v>0</v>
      </c>
    </row>
    <row r="568" spans="1:2">
      <c r="A568" s="9" t="s">
        <v>639</v>
      </c>
      <c r="B568" s="9">
        <v>0</v>
      </c>
    </row>
    <row r="569" spans="1:2">
      <c r="A569" s="9" t="s">
        <v>639</v>
      </c>
      <c r="B569" s="9">
        <v>0</v>
      </c>
    </row>
    <row r="570" spans="1:2">
      <c r="A570" s="9" t="s">
        <v>639</v>
      </c>
      <c r="B570" s="9">
        <v>0</v>
      </c>
    </row>
    <row r="571" spans="1:2">
      <c r="A571" s="9" t="s">
        <v>639</v>
      </c>
      <c r="B571" s="9">
        <v>0</v>
      </c>
    </row>
    <row r="572" spans="1:2">
      <c r="A572" s="9" t="s">
        <v>639</v>
      </c>
      <c r="B572" s="9">
        <v>0</v>
      </c>
    </row>
    <row r="573" spans="1:2">
      <c r="A573" s="9" t="s">
        <v>639</v>
      </c>
      <c r="B573" s="9">
        <v>0</v>
      </c>
    </row>
    <row r="574" spans="1:2">
      <c r="A574" s="9" t="s">
        <v>639</v>
      </c>
      <c r="B574" s="9">
        <v>0</v>
      </c>
    </row>
    <row r="575" spans="1:2">
      <c r="A575" s="9" t="s">
        <v>639</v>
      </c>
      <c r="B575" s="9">
        <v>0</v>
      </c>
    </row>
    <row r="576" spans="1:2">
      <c r="A576" s="9" t="s">
        <v>639</v>
      </c>
      <c r="B576" s="9">
        <v>0</v>
      </c>
    </row>
    <row r="577" spans="1:2">
      <c r="A577" s="9" t="s">
        <v>639</v>
      </c>
      <c r="B577" s="9">
        <v>0</v>
      </c>
    </row>
    <row r="578" spans="1:2">
      <c r="A578" s="9" t="s">
        <v>639</v>
      </c>
      <c r="B578" s="9">
        <v>0</v>
      </c>
    </row>
    <row r="579" spans="1:2">
      <c r="A579" s="9" t="s">
        <v>639</v>
      </c>
      <c r="B579" s="9">
        <v>0</v>
      </c>
    </row>
    <row r="580" spans="1:2">
      <c r="A580" s="9" t="s">
        <v>639</v>
      </c>
      <c r="B580" s="9">
        <v>0</v>
      </c>
    </row>
    <row r="581" spans="1:2">
      <c r="A581" s="9" t="s">
        <v>639</v>
      </c>
      <c r="B581" s="9">
        <v>0</v>
      </c>
    </row>
    <row r="582" spans="1:2">
      <c r="A582" s="9" t="s">
        <v>639</v>
      </c>
      <c r="B582" s="9">
        <v>0</v>
      </c>
    </row>
    <row r="583" spans="1:2">
      <c r="A583" s="9" t="s">
        <v>639</v>
      </c>
      <c r="B583" s="9">
        <v>0</v>
      </c>
    </row>
    <row r="584" spans="1:2">
      <c r="A584" s="9" t="s">
        <v>639</v>
      </c>
      <c r="B584" s="9">
        <v>0</v>
      </c>
    </row>
    <row r="585" spans="1:2">
      <c r="A585" s="9" t="s">
        <v>639</v>
      </c>
      <c r="B585" s="9">
        <v>0</v>
      </c>
    </row>
    <row r="586" spans="1:2">
      <c r="A586" s="9" t="s">
        <v>639</v>
      </c>
      <c r="B586" s="9">
        <v>0</v>
      </c>
    </row>
    <row r="587" spans="1:2">
      <c r="A587" s="9" t="s">
        <v>639</v>
      </c>
      <c r="B587" s="9">
        <v>0</v>
      </c>
    </row>
    <row r="588" spans="1:2">
      <c r="A588" s="9" t="s">
        <v>639</v>
      </c>
      <c r="B588" s="9">
        <v>0</v>
      </c>
    </row>
    <row r="589" spans="1:2">
      <c r="A589" s="9" t="s">
        <v>639</v>
      </c>
      <c r="B589" s="9">
        <v>0</v>
      </c>
    </row>
    <row r="590" spans="1:2">
      <c r="A590" s="9" t="s">
        <v>639</v>
      </c>
      <c r="B590" s="9">
        <v>0</v>
      </c>
    </row>
    <row r="591" spans="1:2">
      <c r="A591" s="9" t="s">
        <v>639</v>
      </c>
      <c r="B591" s="9">
        <v>0</v>
      </c>
    </row>
    <row r="592" spans="1:2">
      <c r="A592" s="9" t="s">
        <v>639</v>
      </c>
      <c r="B592" s="9">
        <v>0</v>
      </c>
    </row>
    <row r="593" spans="1:2">
      <c r="A593" s="9" t="s">
        <v>639</v>
      </c>
      <c r="B593" s="9">
        <v>0</v>
      </c>
    </row>
    <row r="594" spans="1:2">
      <c r="A594" s="9" t="s">
        <v>639</v>
      </c>
      <c r="B594" s="9">
        <v>0</v>
      </c>
    </row>
    <row r="595" spans="1:2">
      <c r="A595" s="9" t="s">
        <v>639</v>
      </c>
      <c r="B595" s="9">
        <v>0</v>
      </c>
    </row>
    <row r="596" spans="1:2">
      <c r="A596" s="9" t="s">
        <v>639</v>
      </c>
      <c r="B596" s="9">
        <v>0</v>
      </c>
    </row>
    <row r="597" spans="1:2">
      <c r="A597" s="9" t="s">
        <v>639</v>
      </c>
      <c r="B597" s="9">
        <v>0</v>
      </c>
    </row>
    <row r="598" spans="1:2">
      <c r="A598" s="9" t="s">
        <v>639</v>
      </c>
      <c r="B598" s="9">
        <v>0</v>
      </c>
    </row>
    <row r="599" spans="1:2">
      <c r="A599" s="9" t="s">
        <v>639</v>
      </c>
      <c r="B599" s="9">
        <v>0</v>
      </c>
    </row>
    <row r="600" spans="1:2">
      <c r="A600" s="9" t="s">
        <v>639</v>
      </c>
      <c r="B600" s="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abSelected="1" workbookViewId="0">
      <selection activeCell="P12" sqref="P12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16.140625" bestFit="1" customWidth="1"/>
    <col min="13" max="13" width="16.5703125" bestFit="1" customWidth="1"/>
  </cols>
  <sheetData>
    <row r="1" spans="1:14" ht="15.75">
      <c r="A1" s="14" t="s">
        <v>10</v>
      </c>
      <c r="B1" s="19"/>
      <c r="C1" s="14" t="s">
        <v>11</v>
      </c>
      <c r="E1" s="14" t="s">
        <v>12</v>
      </c>
      <c r="G1" s="14" t="s">
        <v>13</v>
      </c>
      <c r="H1" s="19"/>
      <c r="I1" s="14" t="s">
        <v>14</v>
      </c>
      <c r="K1" s="14" t="s">
        <v>20</v>
      </c>
      <c r="M1" s="12" t="s">
        <v>21</v>
      </c>
      <c r="N1" s="19"/>
    </row>
    <row r="2" spans="1:14">
      <c r="A2" s="22" t="s">
        <v>511</v>
      </c>
      <c r="C2" s="22" t="s">
        <v>134</v>
      </c>
      <c r="E2" s="5"/>
      <c r="G2" s="22"/>
      <c r="I2" s="22"/>
      <c r="K2" t="s">
        <v>126</v>
      </c>
    </row>
    <row r="3" spans="1:14">
      <c r="A3" s="22" t="s">
        <v>512</v>
      </c>
      <c r="C3" s="22" t="s">
        <v>278</v>
      </c>
      <c r="E3" s="22"/>
      <c r="G3" s="22"/>
      <c r="I3" s="5"/>
      <c r="K3" t="s">
        <v>118</v>
      </c>
    </row>
    <row r="4" spans="1:14">
      <c r="A4" s="22" t="s">
        <v>281</v>
      </c>
      <c r="C4" s="22" t="s">
        <v>480</v>
      </c>
      <c r="E4" s="5"/>
      <c r="G4" s="22"/>
      <c r="I4" s="22"/>
    </row>
    <row r="5" spans="1:14">
      <c r="A5" s="22" t="s">
        <v>357</v>
      </c>
      <c r="C5" s="22" t="s">
        <v>273</v>
      </c>
      <c r="E5" s="5"/>
      <c r="G5" s="22"/>
      <c r="I5" s="22"/>
      <c r="K5" t="s">
        <v>485</v>
      </c>
    </row>
    <row r="6" spans="1:14">
      <c r="A6" s="22" t="s">
        <v>280</v>
      </c>
      <c r="C6" s="22" t="s">
        <v>292</v>
      </c>
      <c r="E6" s="5"/>
      <c r="G6" s="22"/>
      <c r="I6" s="22"/>
      <c r="K6" t="s">
        <v>484</v>
      </c>
    </row>
    <row r="7" spans="1:14">
      <c r="A7" s="22" t="s">
        <v>292</v>
      </c>
      <c r="C7" s="22" t="s">
        <v>410</v>
      </c>
      <c r="E7" s="5"/>
      <c r="G7" s="22"/>
      <c r="I7" s="22"/>
      <c r="K7" t="s">
        <v>38</v>
      </c>
    </row>
    <row r="8" spans="1:14">
      <c r="A8" s="22" t="s">
        <v>410</v>
      </c>
      <c r="C8" s="22" t="s">
        <v>444</v>
      </c>
      <c r="E8" s="22"/>
      <c r="G8" s="22"/>
      <c r="I8" s="22"/>
      <c r="K8" t="s">
        <v>41</v>
      </c>
    </row>
    <row r="9" spans="1:14">
      <c r="A9" s="22" t="s">
        <v>272</v>
      </c>
      <c r="C9" s="22" t="s">
        <v>272</v>
      </c>
      <c r="E9" s="22"/>
      <c r="G9" s="22"/>
      <c r="I9" s="22"/>
      <c r="K9" t="s">
        <v>99</v>
      </c>
    </row>
    <row r="10" spans="1:14">
      <c r="A10" s="22" t="s">
        <v>274</v>
      </c>
      <c r="C10" s="22" t="s">
        <v>274</v>
      </c>
      <c r="E10" s="5"/>
      <c r="G10" s="22"/>
      <c r="I10" s="22"/>
      <c r="K10" t="s">
        <v>34</v>
      </c>
    </row>
    <row r="11" spans="1:14">
      <c r="A11" s="22" t="s">
        <v>284</v>
      </c>
      <c r="C11" s="22" t="s">
        <v>276</v>
      </c>
      <c r="E11" s="5"/>
      <c r="G11" s="22"/>
      <c r="I11" s="22"/>
      <c r="K11" t="s">
        <v>33</v>
      </c>
    </row>
    <row r="12" spans="1:14">
      <c r="A12" s="22" t="s">
        <v>346</v>
      </c>
      <c r="C12" s="22" t="s">
        <v>346</v>
      </c>
      <c r="E12" s="22"/>
      <c r="G12" s="22"/>
      <c r="I12" s="5"/>
      <c r="K12" t="s">
        <v>389</v>
      </c>
    </row>
    <row r="13" spans="1:14">
      <c r="A13" s="22" t="s">
        <v>523</v>
      </c>
      <c r="C13" s="22" t="s">
        <v>523</v>
      </c>
      <c r="E13" s="5"/>
      <c r="G13" s="22"/>
      <c r="I13" s="22"/>
      <c r="K13" t="s">
        <v>27</v>
      </c>
    </row>
    <row r="14" spans="1:14">
      <c r="A14" s="22" t="s">
        <v>358</v>
      </c>
      <c r="C14" s="22" t="s">
        <v>411</v>
      </c>
      <c r="E14" s="5"/>
      <c r="G14" s="22"/>
      <c r="I14" s="22"/>
      <c r="K14" t="s">
        <v>31</v>
      </c>
    </row>
    <row r="15" spans="1:14">
      <c r="A15" s="22" t="s">
        <v>237</v>
      </c>
      <c r="C15" s="22" t="s">
        <v>234</v>
      </c>
      <c r="E15" s="5"/>
      <c r="G15" s="22"/>
      <c r="I15" s="22"/>
      <c r="K15" t="s">
        <v>478</v>
      </c>
    </row>
    <row r="16" spans="1:14">
      <c r="A16" s="22" t="s">
        <v>234</v>
      </c>
      <c r="C16" s="22" t="s">
        <v>504</v>
      </c>
      <c r="E16" s="5"/>
      <c r="G16" s="22"/>
      <c r="I16" s="22"/>
      <c r="K16" t="s">
        <v>58</v>
      </c>
    </row>
    <row r="17" spans="1:11">
      <c r="A17" s="22" t="s">
        <v>510</v>
      </c>
      <c r="C17" s="22" t="s">
        <v>520</v>
      </c>
      <c r="E17" s="5"/>
      <c r="G17" s="22"/>
      <c r="I17" s="22"/>
      <c r="K17" t="s">
        <v>37</v>
      </c>
    </row>
    <row r="18" spans="1:11">
      <c r="A18" s="22" t="s">
        <v>221</v>
      </c>
      <c r="C18" s="22" t="s">
        <v>512</v>
      </c>
      <c r="E18" s="5"/>
      <c r="G18" s="22"/>
      <c r="I18" s="22"/>
      <c r="K18" t="s">
        <v>49</v>
      </c>
    </row>
    <row r="19" spans="1:11">
      <c r="A19" s="22" t="s">
        <v>425</v>
      </c>
      <c r="C19" s="22" t="s">
        <v>429</v>
      </c>
      <c r="E19" s="5"/>
      <c r="G19" s="22"/>
      <c r="I19" s="22"/>
      <c r="K19" t="s">
        <v>119</v>
      </c>
    </row>
    <row r="20" spans="1:11">
      <c r="A20" s="22" t="s">
        <v>218</v>
      </c>
      <c r="C20" s="22" t="s">
        <v>218</v>
      </c>
      <c r="E20" s="5"/>
      <c r="G20" s="22"/>
      <c r="I20" s="22"/>
    </row>
    <row r="21" spans="1:11">
      <c r="A21" s="22" t="s">
        <v>211</v>
      </c>
      <c r="C21" s="22" t="s">
        <v>15</v>
      </c>
      <c r="E21" s="5"/>
      <c r="G21" s="22"/>
      <c r="I21" s="22"/>
    </row>
    <row r="22" spans="1:11">
      <c r="A22" s="22" t="s">
        <v>215</v>
      </c>
      <c r="C22" s="22" t="s">
        <v>409</v>
      </c>
      <c r="E22" s="5"/>
      <c r="G22" s="22"/>
      <c r="I22" s="22"/>
    </row>
    <row r="23" spans="1:11">
      <c r="A23" s="22" t="s">
        <v>213</v>
      </c>
      <c r="C23" s="22" t="s">
        <v>407</v>
      </c>
      <c r="E23" s="5"/>
      <c r="G23" s="22"/>
      <c r="I23" s="22"/>
    </row>
    <row r="24" spans="1:11">
      <c r="A24" s="22" t="s">
        <v>15</v>
      </c>
      <c r="C24" s="22" t="s">
        <v>219</v>
      </c>
      <c r="E24" s="5"/>
      <c r="G24" s="22"/>
      <c r="I24" s="22"/>
    </row>
    <row r="25" spans="1:11">
      <c r="A25" s="22" t="s">
        <v>409</v>
      </c>
      <c r="C25" s="22" t="s">
        <v>225</v>
      </c>
      <c r="E25" s="5"/>
      <c r="G25" s="22"/>
      <c r="I25" s="22"/>
    </row>
    <row r="26" spans="1:11">
      <c r="A26" s="22" t="s">
        <v>196</v>
      </c>
      <c r="C26" s="22"/>
      <c r="E26" s="5"/>
      <c r="G26" s="22"/>
      <c r="I26" s="22"/>
    </row>
    <row r="27" spans="1:11">
      <c r="A27" s="22" t="s">
        <v>129</v>
      </c>
      <c r="C27" s="22" t="s">
        <v>445</v>
      </c>
      <c r="E27" s="5"/>
      <c r="G27" s="22"/>
      <c r="I27" s="22"/>
    </row>
    <row r="28" spans="1:11">
      <c r="A28" s="22" t="s">
        <v>125</v>
      </c>
      <c r="C28" s="22" t="s">
        <v>216</v>
      </c>
      <c r="E28" s="22"/>
      <c r="G28" s="22"/>
      <c r="I28" s="22"/>
    </row>
    <row r="29" spans="1:11">
      <c r="A29" s="22" t="s">
        <v>133</v>
      </c>
      <c r="C29" s="22" t="s">
        <v>214</v>
      </c>
      <c r="E29" s="5"/>
      <c r="G29" s="22"/>
      <c r="I29" s="22"/>
    </row>
    <row r="30" spans="1:11">
      <c r="A30" s="22" t="s">
        <v>126</v>
      </c>
      <c r="C30" s="22" t="s">
        <v>258</v>
      </c>
      <c r="E30" s="5"/>
      <c r="G30" s="22"/>
      <c r="I30" s="22"/>
    </row>
    <row r="31" spans="1:11">
      <c r="A31" s="22" t="s">
        <v>118</v>
      </c>
      <c r="C31" s="22"/>
      <c r="E31" s="5"/>
      <c r="G31" s="22"/>
      <c r="I31" s="22"/>
    </row>
    <row r="32" spans="1:11">
      <c r="A32" s="22" t="s">
        <v>484</v>
      </c>
      <c r="C32" s="22"/>
      <c r="E32" s="5"/>
      <c r="G32" s="22"/>
      <c r="I32" s="22"/>
    </row>
    <row r="33" spans="1:9">
      <c r="A33" s="22" t="s">
        <v>389</v>
      </c>
      <c r="C33" s="22"/>
      <c r="E33" s="5"/>
      <c r="G33" s="22"/>
      <c r="I33" s="22"/>
    </row>
    <row r="34" spans="1:9">
      <c r="A34" s="22" t="s">
        <v>27</v>
      </c>
      <c r="C34" s="22"/>
      <c r="E34" s="5"/>
      <c r="G34" s="22"/>
      <c r="I34" s="22"/>
    </row>
    <row r="35" spans="1:9">
      <c r="A35" s="22" t="s">
        <v>478</v>
      </c>
      <c r="C35" s="22"/>
      <c r="E35" s="5"/>
      <c r="G35" s="22"/>
      <c r="I35" s="22"/>
    </row>
    <row r="36" spans="1:9">
      <c r="A36" s="22"/>
      <c r="C36" s="22"/>
      <c r="E36" s="5"/>
      <c r="G36" s="22"/>
      <c r="I36" s="22"/>
    </row>
    <row r="37" spans="1:9">
      <c r="A37" s="22"/>
      <c r="C37" s="22"/>
      <c r="E37" s="5"/>
      <c r="G37" s="22"/>
      <c r="I37" s="22"/>
    </row>
    <row r="38" spans="1:9">
      <c r="A38" s="22"/>
      <c r="C38" s="22"/>
      <c r="E38" s="5"/>
      <c r="G38" s="22"/>
      <c r="I38" s="22"/>
    </row>
    <row r="39" spans="1:9">
      <c r="A39" s="22"/>
      <c r="C39" s="22"/>
      <c r="E39" s="22"/>
      <c r="G39" s="22"/>
      <c r="I39" s="22"/>
    </row>
    <row r="40" spans="1:9">
      <c r="A40" s="22"/>
      <c r="C40" s="22"/>
      <c r="E40" s="22"/>
      <c r="G40" s="22"/>
      <c r="I40" s="22"/>
    </row>
    <row r="41" spans="1:9">
      <c r="A41" s="22"/>
      <c r="C41" s="22"/>
      <c r="E41" s="5"/>
      <c r="G41" s="22"/>
      <c r="I41" s="22"/>
    </row>
    <row r="42" spans="1:9">
      <c r="A42" s="22"/>
      <c r="C42" s="22"/>
      <c r="E42" s="5"/>
      <c r="G42" s="22"/>
      <c r="I42" s="22"/>
    </row>
    <row r="43" spans="1:9">
      <c r="A43" s="22"/>
      <c r="C43" s="22"/>
      <c r="E43" s="22"/>
      <c r="G43" s="22"/>
      <c r="I43" s="22"/>
    </row>
    <row r="44" spans="1:9">
      <c r="A44" s="22"/>
      <c r="C44" s="22"/>
      <c r="E44" s="22"/>
      <c r="G44" s="22"/>
      <c r="I44" s="5"/>
    </row>
    <row r="45" spans="1:9">
      <c r="A45" s="22"/>
      <c r="C45" s="22"/>
      <c r="E45" s="5"/>
      <c r="G45" s="22"/>
      <c r="I45" s="22"/>
    </row>
    <row r="46" spans="1:9">
      <c r="A46" s="22"/>
      <c r="C46" s="22"/>
      <c r="E46" s="5"/>
      <c r="G46" s="22"/>
      <c r="I46" s="22"/>
    </row>
    <row r="47" spans="1:9">
      <c r="A47" s="22"/>
      <c r="C47" s="22"/>
      <c r="E47" s="5"/>
      <c r="G47" s="22"/>
      <c r="I47" s="22"/>
    </row>
    <row r="48" spans="1:9">
      <c r="A48" s="22"/>
      <c r="C48" s="22"/>
      <c r="E48" s="5"/>
      <c r="G48" s="22"/>
      <c r="I48" s="22"/>
    </row>
    <row r="49" spans="1:9">
      <c r="A49" s="22"/>
      <c r="C49" s="22"/>
      <c r="E49" s="5"/>
      <c r="G49" s="22"/>
      <c r="I49" s="22"/>
    </row>
    <row r="50" spans="1:9">
      <c r="A50" s="22"/>
      <c r="C50" s="22"/>
      <c r="E50" s="5"/>
      <c r="G50" s="22"/>
      <c r="I50" s="22"/>
    </row>
    <row r="51" spans="1:9">
      <c r="A51" s="22"/>
      <c r="C51" s="22"/>
      <c r="E51" s="5"/>
      <c r="G51" s="22"/>
      <c r="I51" s="22"/>
    </row>
    <row r="52" spans="1:9">
      <c r="A52" s="22"/>
      <c r="C52" s="22"/>
      <c r="E52" s="5"/>
      <c r="G52" s="22"/>
      <c r="I52" s="22"/>
    </row>
    <row r="53" spans="1:9">
      <c r="A53" s="22"/>
      <c r="C53" s="22"/>
      <c r="E53" s="5"/>
      <c r="G53" s="22"/>
      <c r="I53" s="22"/>
    </row>
    <row r="54" spans="1:9">
      <c r="A54" s="22"/>
      <c r="C54" s="22"/>
      <c r="E54" s="5"/>
      <c r="G54" s="22"/>
      <c r="I54" s="22"/>
    </row>
    <row r="55" spans="1:9">
      <c r="A55" s="22"/>
      <c r="C55" s="22"/>
      <c r="E55" s="5"/>
      <c r="G55" s="22"/>
      <c r="I55" s="22"/>
    </row>
    <row r="56" spans="1:9">
      <c r="A56" s="22"/>
      <c r="C56" s="22"/>
      <c r="E56" s="22"/>
      <c r="G56" s="22"/>
      <c r="I56" s="22"/>
    </row>
    <row r="57" spans="1:9">
      <c r="A57" s="22"/>
      <c r="C57" s="22"/>
      <c r="E57" s="5"/>
      <c r="G57" s="22"/>
      <c r="I57" s="22"/>
    </row>
    <row r="58" spans="1:9">
      <c r="A58" s="22"/>
      <c r="C58" s="22"/>
      <c r="E58" s="5"/>
      <c r="G58" s="22"/>
      <c r="I58" s="22"/>
    </row>
    <row r="59" spans="1:9">
      <c r="A59" s="22"/>
      <c r="C59" s="22"/>
      <c r="E59" s="5"/>
      <c r="G59" s="22"/>
      <c r="I59" s="22"/>
    </row>
    <row r="60" spans="1:9">
      <c r="A60" s="22"/>
      <c r="C60" s="22"/>
      <c r="E60" s="5"/>
      <c r="G60" s="22"/>
      <c r="I60" s="22"/>
    </row>
    <row r="61" spans="1:9">
      <c r="A61" s="22"/>
      <c r="C61" s="22"/>
      <c r="E61" s="5"/>
      <c r="G61" s="22"/>
      <c r="I61" s="22"/>
    </row>
    <row r="62" spans="1:9">
      <c r="A62" s="22"/>
      <c r="C62" s="22"/>
      <c r="E62" s="5"/>
      <c r="G62" s="22"/>
      <c r="I62" s="22"/>
    </row>
    <row r="63" spans="1:9">
      <c r="A63" s="22"/>
      <c r="E63" s="5"/>
      <c r="G63" s="22"/>
      <c r="I63" s="22"/>
    </row>
    <row r="64" spans="1:9">
      <c r="A64" s="22"/>
      <c r="E64" s="5"/>
      <c r="G64" s="22"/>
      <c r="I64" s="22"/>
    </row>
    <row r="65" spans="1:9">
      <c r="A65" s="22"/>
      <c r="E65" s="5"/>
      <c r="G65" s="5"/>
      <c r="I65" s="22"/>
    </row>
    <row r="66" spans="1:9">
      <c r="A66" s="22"/>
      <c r="E66" s="22"/>
      <c r="G66" s="22"/>
      <c r="I66" s="22"/>
    </row>
    <row r="67" spans="1:9">
      <c r="A67" s="22"/>
      <c r="E67" s="22"/>
      <c r="G67" s="22"/>
      <c r="I67" s="5"/>
    </row>
    <row r="68" spans="1:9">
      <c r="A68" s="22"/>
      <c r="E68" s="22"/>
      <c r="G68" s="22"/>
      <c r="I68" s="5"/>
    </row>
    <row r="69" spans="1:9">
      <c r="E69" s="22"/>
      <c r="G69" s="22"/>
      <c r="I69" s="5"/>
    </row>
    <row r="70" spans="1:9">
      <c r="E70" s="22"/>
      <c r="G70" s="22"/>
      <c r="I70" s="5"/>
    </row>
    <row r="71" spans="1:9">
      <c r="E71" s="22"/>
      <c r="G71" s="5"/>
      <c r="I71" s="5"/>
    </row>
    <row r="72" spans="1:9">
      <c r="G72" s="5"/>
      <c r="I72" s="22"/>
    </row>
    <row r="73" spans="1:9">
      <c r="G73" s="5"/>
      <c r="I73" s="22"/>
    </row>
    <row r="74" spans="1:9">
      <c r="G74" s="5"/>
      <c r="I74" s="22"/>
    </row>
    <row r="75" spans="1:9">
      <c r="G75" s="5"/>
      <c r="I75" s="22"/>
    </row>
    <row r="76" spans="1:9">
      <c r="G76" s="5"/>
      <c r="I76" s="22"/>
    </row>
    <row r="77" spans="1:9">
      <c r="G77" s="5"/>
      <c r="I77" s="22"/>
    </row>
    <row r="78" spans="1:9">
      <c r="G78" s="5"/>
      <c r="I78" s="22"/>
    </row>
    <row r="79" spans="1:9">
      <c r="G79" s="5"/>
      <c r="I79" s="22"/>
    </row>
    <row r="80" spans="1:9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7"/>
  <sheetViews>
    <sheetView workbookViewId="0">
      <selection activeCell="K24" sqref="K24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10</v>
      </c>
      <c r="B1" s="19"/>
      <c r="C1" s="14" t="s">
        <v>11</v>
      </c>
      <c r="D1" s="9"/>
      <c r="E1" s="14" t="s">
        <v>12</v>
      </c>
      <c r="F1" s="9"/>
      <c r="G1" s="14" t="s">
        <v>13</v>
      </c>
      <c r="H1" s="19"/>
      <c r="I1" s="14" t="s">
        <v>14</v>
      </c>
    </row>
    <row r="2" spans="1:9">
      <c r="A2" t="s">
        <v>407</v>
      </c>
      <c r="C2" t="s">
        <v>444</v>
      </c>
    </row>
    <row r="3" spans="1:9">
      <c r="A3" t="s">
        <v>409</v>
      </c>
      <c r="C3" t="s">
        <v>38</v>
      </c>
    </row>
    <row r="4" spans="1:9">
      <c r="A4" t="s">
        <v>274</v>
      </c>
      <c r="C4" t="s">
        <v>410</v>
      </c>
    </row>
    <row r="5" spans="1:9">
      <c r="A5" t="s">
        <v>45</v>
      </c>
      <c r="C5" t="s">
        <v>140</v>
      </c>
    </row>
    <row r="6" spans="1:9">
      <c r="A6" t="s">
        <v>27</v>
      </c>
      <c r="C6" t="s">
        <v>133</v>
      </c>
    </row>
    <row r="7" spans="1:9">
      <c r="A7" t="s">
        <v>276</v>
      </c>
      <c r="C7" t="s">
        <v>407</v>
      </c>
    </row>
    <row r="8" spans="1:9">
      <c r="A8" t="s">
        <v>37</v>
      </c>
      <c r="C8" t="s">
        <v>409</v>
      </c>
    </row>
    <row r="9" spans="1:9">
      <c r="A9" t="s">
        <v>133</v>
      </c>
      <c r="C9" t="s">
        <v>216</v>
      </c>
    </row>
    <row r="10" spans="1:9">
      <c r="A10" t="s">
        <v>218</v>
      </c>
      <c r="C10" t="s">
        <v>437</v>
      </c>
    </row>
    <row r="11" spans="1:9">
      <c r="A11" t="s">
        <v>118</v>
      </c>
      <c r="C11" t="s">
        <v>620</v>
      </c>
    </row>
    <row r="12" spans="1:9">
      <c r="A12" t="s">
        <v>140</v>
      </c>
      <c r="C12" t="s">
        <v>390</v>
      </c>
    </row>
    <row r="13" spans="1:9">
      <c r="A13" t="s">
        <v>484</v>
      </c>
      <c r="C13" t="s">
        <v>512</v>
      </c>
    </row>
    <row r="14" spans="1:9">
      <c r="A14" t="s">
        <v>437</v>
      </c>
      <c r="C14" t="s">
        <v>446</v>
      </c>
    </row>
    <row r="15" spans="1:9">
      <c r="A15" t="s">
        <v>410</v>
      </c>
      <c r="C15" t="s">
        <v>508</v>
      </c>
    </row>
    <row r="16" spans="1:9">
      <c r="A16" t="s">
        <v>15</v>
      </c>
      <c r="C16" t="s">
        <v>41</v>
      </c>
    </row>
    <row r="17" spans="1:3">
      <c r="A17" t="s">
        <v>432</v>
      </c>
      <c r="C17" t="s">
        <v>219</v>
      </c>
    </row>
    <row r="18" spans="1:3">
      <c r="A18" t="s">
        <v>119</v>
      </c>
      <c r="C18" t="s">
        <v>429</v>
      </c>
    </row>
    <row r="19" spans="1:3">
      <c r="A19" t="s">
        <v>478</v>
      </c>
      <c r="C19" t="s">
        <v>346</v>
      </c>
    </row>
    <row r="20" spans="1:3">
      <c r="A20" t="s">
        <v>31</v>
      </c>
      <c r="C20" t="s">
        <v>36</v>
      </c>
    </row>
    <row r="21" spans="1:3">
      <c r="A21" t="s">
        <v>389</v>
      </c>
      <c r="C21" t="s">
        <v>58</v>
      </c>
    </row>
    <row r="22" spans="1:3">
      <c r="A22" t="s">
        <v>34</v>
      </c>
      <c r="C22" t="s">
        <v>40</v>
      </c>
    </row>
    <row r="23" spans="1:3">
      <c r="A23" t="s">
        <v>523</v>
      </c>
      <c r="C23" t="s">
        <v>523</v>
      </c>
    </row>
    <row r="24" spans="1:3">
      <c r="A24" t="s">
        <v>126</v>
      </c>
      <c r="C24" t="s">
        <v>292</v>
      </c>
    </row>
    <row r="25" spans="1:3">
      <c r="A25" t="s">
        <v>196</v>
      </c>
      <c r="C25" t="s">
        <v>274</v>
      </c>
    </row>
    <row r="26" spans="1:3">
      <c r="A26" t="s">
        <v>123</v>
      </c>
      <c r="C26" t="s">
        <v>627</v>
      </c>
    </row>
    <row r="27" spans="1:3">
      <c r="A27" t="s">
        <v>49</v>
      </c>
      <c r="C27" t="s">
        <v>623</v>
      </c>
    </row>
    <row r="28" spans="1:3">
      <c r="A28" t="s">
        <v>125</v>
      </c>
      <c r="C28" t="s">
        <v>490</v>
      </c>
    </row>
    <row r="29" spans="1:3">
      <c r="A29" t="s">
        <v>436</v>
      </c>
      <c r="C29" t="s">
        <v>15</v>
      </c>
    </row>
    <row r="30" spans="1:3">
      <c r="A30" t="s">
        <v>144</v>
      </c>
      <c r="C30" t="s">
        <v>445</v>
      </c>
    </row>
    <row r="31" spans="1:3">
      <c r="A31" t="s">
        <v>292</v>
      </c>
      <c r="C31" t="s">
        <v>218</v>
      </c>
    </row>
    <row r="32" spans="1:3">
      <c r="A32" t="s">
        <v>428</v>
      </c>
      <c r="C32" t="s">
        <v>118</v>
      </c>
    </row>
    <row r="33" spans="1:3">
      <c r="A33" t="s">
        <v>411</v>
      </c>
      <c r="C33" t="s">
        <v>621</v>
      </c>
    </row>
    <row r="34" spans="1:3">
      <c r="A34" t="s">
        <v>146</v>
      </c>
      <c r="C34" t="s">
        <v>276</v>
      </c>
    </row>
    <row r="35" spans="1:3">
      <c r="A35" t="s">
        <v>141</v>
      </c>
      <c r="C35" t="s">
        <v>49</v>
      </c>
    </row>
    <row r="36" spans="1:3">
      <c r="A36" t="s">
        <v>40</v>
      </c>
      <c r="C36" t="s">
        <v>480</v>
      </c>
    </row>
    <row r="37" spans="1:3">
      <c r="A37" t="s">
        <v>215</v>
      </c>
      <c r="C37" t="s">
        <v>33</v>
      </c>
    </row>
    <row r="38" spans="1:3">
      <c r="A38" t="s">
        <v>36</v>
      </c>
      <c r="C38" t="s">
        <v>214</v>
      </c>
    </row>
    <row r="39" spans="1:3">
      <c r="A39" t="s">
        <v>129</v>
      </c>
      <c r="C39" t="s">
        <v>389</v>
      </c>
    </row>
    <row r="40" spans="1:3">
      <c r="A40" t="s">
        <v>573</v>
      </c>
      <c r="C40" t="s">
        <v>411</v>
      </c>
    </row>
    <row r="41" spans="1:3">
      <c r="A41" t="s">
        <v>261</v>
      </c>
      <c r="C41" t="s">
        <v>557</v>
      </c>
    </row>
    <row r="42" spans="1:3">
      <c r="A42" t="s">
        <v>272</v>
      </c>
      <c r="C42" t="s">
        <v>196</v>
      </c>
    </row>
    <row r="43" spans="1:3">
      <c r="A43" t="s">
        <v>512</v>
      </c>
      <c r="C43" t="s">
        <v>119</v>
      </c>
    </row>
    <row r="44" spans="1:3">
      <c r="A44" t="s">
        <v>444</v>
      </c>
      <c r="C44" t="s">
        <v>504</v>
      </c>
    </row>
    <row r="45" spans="1:3">
      <c r="A45" t="s">
        <v>32</v>
      </c>
      <c r="C45" t="s">
        <v>625</v>
      </c>
    </row>
    <row r="46" spans="1:3">
      <c r="A46" t="s">
        <v>120</v>
      </c>
      <c r="C46" t="s">
        <v>272</v>
      </c>
    </row>
    <row r="47" spans="1:3">
      <c r="A47" t="s">
        <v>214</v>
      </c>
      <c r="C47" t="s">
        <v>37</v>
      </c>
    </row>
    <row r="48" spans="1:3">
      <c r="A48" t="s">
        <v>506</v>
      </c>
      <c r="C48" t="s">
        <v>30</v>
      </c>
    </row>
    <row r="49" spans="1:3">
      <c r="A49" t="s">
        <v>135</v>
      </c>
      <c r="C49" t="s">
        <v>507</v>
      </c>
    </row>
    <row r="50" spans="1:3">
      <c r="A50" t="s">
        <v>485</v>
      </c>
      <c r="C50" t="s">
        <v>484</v>
      </c>
    </row>
    <row r="51" spans="1:3">
      <c r="A51" t="s">
        <v>33</v>
      </c>
      <c r="C51" t="s">
        <v>485</v>
      </c>
    </row>
    <row r="52" spans="1:3">
      <c r="A52" t="s">
        <v>58</v>
      </c>
      <c r="C52" t="s">
        <v>45</v>
      </c>
    </row>
    <row r="53" spans="1:3">
      <c r="A53" t="s">
        <v>487</v>
      </c>
      <c r="C53" t="s">
        <v>125</v>
      </c>
    </row>
    <row r="54" spans="1:3">
      <c r="A54" t="s">
        <v>460</v>
      </c>
      <c r="C54" t="s">
        <v>436</v>
      </c>
    </row>
    <row r="55" spans="1:3">
      <c r="A55" t="s">
        <v>480</v>
      </c>
      <c r="C55" t="s">
        <v>278</v>
      </c>
    </row>
    <row r="56" spans="1:3">
      <c r="A56" t="s">
        <v>346</v>
      </c>
      <c r="C56" t="s">
        <v>273</v>
      </c>
    </row>
    <row r="57" spans="1:3">
      <c r="A57" t="s">
        <v>41</v>
      </c>
      <c r="C57" t="s">
        <v>124</v>
      </c>
    </row>
    <row r="58" spans="1:3">
      <c r="A58" t="s">
        <v>251</v>
      </c>
      <c r="C58" t="s">
        <v>126</v>
      </c>
    </row>
    <row r="59" spans="1:3">
      <c r="A59" t="s">
        <v>482</v>
      </c>
      <c r="C59" t="s">
        <v>624</v>
      </c>
    </row>
    <row r="60" spans="1:3">
      <c r="A60" t="s">
        <v>625</v>
      </c>
      <c r="C60" t="s">
        <v>34</v>
      </c>
    </row>
    <row r="61" spans="1:3">
      <c r="A61" t="s">
        <v>462</v>
      </c>
      <c r="C61" t="s">
        <v>27</v>
      </c>
    </row>
    <row r="62" spans="1:3">
      <c r="A62" t="s">
        <v>38</v>
      </c>
      <c r="C62" t="s">
        <v>492</v>
      </c>
    </row>
    <row r="63" spans="1:3">
      <c r="A63" t="s">
        <v>627</v>
      </c>
      <c r="C63" t="s">
        <v>44</v>
      </c>
    </row>
    <row r="64" spans="1:3">
      <c r="A64" t="s">
        <v>468</v>
      </c>
      <c r="C64" t="s">
        <v>540</v>
      </c>
    </row>
    <row r="65" spans="1:3">
      <c r="A65" t="s">
        <v>216</v>
      </c>
      <c r="C65" t="s">
        <v>141</v>
      </c>
    </row>
    <row r="66" spans="1:3">
      <c r="A66" t="s">
        <v>557</v>
      </c>
      <c r="C66" t="s">
        <v>120</v>
      </c>
    </row>
    <row r="67" spans="1:3">
      <c r="A67" t="s">
        <v>273</v>
      </c>
      <c r="C67" t="s">
        <v>515</v>
      </c>
    </row>
    <row r="68" spans="1:3">
      <c r="A68" t="s">
        <v>640</v>
      </c>
      <c r="C68" t="s">
        <v>103</v>
      </c>
    </row>
    <row r="69" spans="1:3">
      <c r="A69" t="s">
        <v>234</v>
      </c>
      <c r="C69" t="s">
        <v>359</v>
      </c>
    </row>
    <row r="70" spans="1:3">
      <c r="A70" t="s">
        <v>623</v>
      </c>
      <c r="C70" t="s">
        <v>258</v>
      </c>
    </row>
    <row r="71" spans="1:3">
      <c r="A71" t="s">
        <v>518</v>
      </c>
      <c r="C71" t="s">
        <v>244</v>
      </c>
    </row>
    <row r="72" spans="1:3">
      <c r="A72" t="s">
        <v>510</v>
      </c>
      <c r="C72" t="s">
        <v>123</v>
      </c>
    </row>
    <row r="73" spans="1:3">
      <c r="A73" t="s">
        <v>508</v>
      </c>
    </row>
    <row r="74" spans="1:3">
      <c r="A74" t="s">
        <v>624</v>
      </c>
    </row>
    <row r="75" spans="1:3">
      <c r="A75" t="s">
        <v>260</v>
      </c>
    </row>
    <row r="76" spans="1:3">
      <c r="A76" t="s">
        <v>357</v>
      </c>
    </row>
    <row r="77" spans="1:3">
      <c r="A77" t="s">
        <v>265</v>
      </c>
    </row>
    <row r="78" spans="1:3">
      <c r="A78" t="s">
        <v>99</v>
      </c>
    </row>
    <row r="79" spans="1:3">
      <c r="A79" t="s">
        <v>632</v>
      </c>
    </row>
    <row r="80" spans="1:3">
      <c r="A80" t="s">
        <v>131</v>
      </c>
    </row>
    <row r="81" spans="1:1">
      <c r="A81" t="s">
        <v>258</v>
      </c>
    </row>
    <row r="82" spans="1:1">
      <c r="A82" t="s">
        <v>492</v>
      </c>
    </row>
    <row r="111" spans="3:3">
      <c r="C111" t="s">
        <v>103</v>
      </c>
    </row>
    <row r="112" spans="3:3">
      <c r="C112" t="s">
        <v>32</v>
      </c>
    </row>
    <row r="113" spans="3:3">
      <c r="C113" t="s">
        <v>45</v>
      </c>
    </row>
    <row r="114" spans="3:3">
      <c r="C114" t="s">
        <v>434</v>
      </c>
    </row>
    <row r="115" spans="3:3">
      <c r="C115" t="s">
        <v>292</v>
      </c>
    </row>
    <row r="116" spans="3:3">
      <c r="C116" t="s">
        <v>137</v>
      </c>
    </row>
    <row r="117" spans="3:3">
      <c r="C117" t="s">
        <v>128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82"/>
  <sheetViews>
    <sheetView zoomScaleNormal="100" workbookViewId="0">
      <selection activeCell="U15" sqref="U15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17</v>
      </c>
      <c r="C2" s="13" t="s">
        <v>7</v>
      </c>
      <c r="D2" s="13" t="s">
        <v>8</v>
      </c>
      <c r="F2" s="13" t="s">
        <v>0</v>
      </c>
      <c r="G2" s="13" t="s">
        <v>17</v>
      </c>
      <c r="H2" s="13" t="s">
        <v>7</v>
      </c>
      <c r="I2" s="13" t="s">
        <v>8</v>
      </c>
      <c r="K2" s="13" t="s">
        <v>0</v>
      </c>
      <c r="L2" s="13" t="s">
        <v>17</v>
      </c>
      <c r="M2" s="13" t="s">
        <v>7</v>
      </c>
      <c r="N2" s="13" t="s">
        <v>8</v>
      </c>
      <c r="P2" s="13" t="s">
        <v>0</v>
      </c>
      <c r="Q2" s="13" t="s">
        <v>17</v>
      </c>
      <c r="R2" s="13" t="s">
        <v>7</v>
      </c>
      <c r="S2" s="13" t="s">
        <v>8</v>
      </c>
    </row>
    <row r="3" spans="1:19">
      <c r="E3" s="10" t="s">
        <v>219</v>
      </c>
      <c r="H3" s="11"/>
      <c r="I3" s="11"/>
      <c r="J3" s="10" t="s">
        <v>49</v>
      </c>
      <c r="M3" s="11"/>
      <c r="N3" s="11"/>
      <c r="O3" s="10" t="s">
        <v>49</v>
      </c>
      <c r="R3" s="11"/>
      <c r="S3" s="11"/>
    </row>
    <row r="4" spans="1:19">
      <c r="E4" s="10" t="s">
        <v>196</v>
      </c>
      <c r="H4" s="11"/>
      <c r="I4" s="11"/>
      <c r="J4" s="10" t="s">
        <v>133</v>
      </c>
      <c r="M4" s="11"/>
      <c r="N4" s="11"/>
      <c r="O4" s="10" t="s">
        <v>133</v>
      </c>
      <c r="R4" s="11"/>
      <c r="S4" s="11"/>
    </row>
    <row r="5" spans="1:19">
      <c r="E5" s="10" t="s">
        <v>523</v>
      </c>
      <c r="H5" s="11"/>
      <c r="I5" s="11"/>
      <c r="J5" s="10" t="s">
        <v>283</v>
      </c>
      <c r="M5" s="11"/>
      <c r="N5" s="11"/>
      <c r="O5" s="10" t="s">
        <v>283</v>
      </c>
      <c r="R5" s="11"/>
      <c r="S5" s="11"/>
    </row>
    <row r="6" spans="1:19">
      <c r="E6" s="10" t="s">
        <v>410</v>
      </c>
      <c r="H6" s="11"/>
      <c r="I6" s="11"/>
      <c r="J6" s="10" t="s">
        <v>118</v>
      </c>
      <c r="M6" s="11"/>
      <c r="N6" s="11"/>
      <c r="O6" s="10" t="s">
        <v>118</v>
      </c>
      <c r="R6" s="11"/>
      <c r="S6" s="11"/>
    </row>
    <row r="7" spans="1:19">
      <c r="E7" s="10" t="s">
        <v>444</v>
      </c>
      <c r="H7" s="11"/>
      <c r="I7" s="11"/>
      <c r="J7" s="10" t="s">
        <v>222</v>
      </c>
      <c r="M7" s="11"/>
      <c r="N7" s="11"/>
      <c r="O7" s="10" t="s">
        <v>222</v>
      </c>
      <c r="R7" s="11"/>
      <c r="S7" s="11"/>
    </row>
    <row r="8" spans="1:19">
      <c r="E8" s="10" t="s">
        <v>459</v>
      </c>
      <c r="H8" s="11"/>
      <c r="I8" s="11"/>
      <c r="J8" s="10" t="s">
        <v>211</v>
      </c>
      <c r="M8" s="11"/>
      <c r="N8" s="11"/>
      <c r="O8" s="10" t="s">
        <v>211</v>
      </c>
      <c r="R8" s="11"/>
      <c r="S8" s="11"/>
    </row>
    <row r="9" spans="1:19">
      <c r="E9" s="10" t="s">
        <v>512</v>
      </c>
      <c r="H9" s="11"/>
      <c r="I9" s="11"/>
      <c r="J9" s="10" t="s">
        <v>306</v>
      </c>
      <c r="M9" s="11"/>
      <c r="N9" s="11"/>
      <c r="O9" s="10" t="s">
        <v>306</v>
      </c>
      <c r="R9" s="11"/>
      <c r="S9" s="11"/>
    </row>
    <row r="10" spans="1:19">
      <c r="E10" s="10" t="s">
        <v>27</v>
      </c>
      <c r="H10" s="11"/>
      <c r="I10" s="11"/>
      <c r="J10" s="10" t="s">
        <v>576</v>
      </c>
      <c r="M10" s="11"/>
      <c r="N10" s="11"/>
      <c r="O10" s="10" t="s">
        <v>576</v>
      </c>
      <c r="R10" s="11"/>
      <c r="S10" s="11"/>
    </row>
    <row r="11" spans="1:19">
      <c r="E11" s="10" t="s">
        <v>517</v>
      </c>
      <c r="H11" s="11"/>
      <c r="I11" s="11"/>
      <c r="J11" s="10" t="s">
        <v>523</v>
      </c>
      <c r="M11" s="11"/>
      <c r="N11" s="11"/>
      <c r="O11" s="10" t="s">
        <v>523</v>
      </c>
      <c r="R11" s="11"/>
      <c r="S11" s="11"/>
    </row>
    <row r="12" spans="1:19">
      <c r="E12" s="10" t="s">
        <v>284</v>
      </c>
      <c r="H12" s="11"/>
      <c r="I12" s="11"/>
      <c r="J12" s="10" t="s">
        <v>27</v>
      </c>
      <c r="M12" s="11"/>
      <c r="N12" s="11"/>
      <c r="O12" s="10" t="s">
        <v>27</v>
      </c>
      <c r="R12" s="11"/>
      <c r="S12" s="11"/>
    </row>
    <row r="13" spans="1:19">
      <c r="E13" s="10" t="s">
        <v>125</v>
      </c>
      <c r="H13" s="11"/>
      <c r="I13" s="11"/>
      <c r="J13" s="10" t="s">
        <v>140</v>
      </c>
      <c r="M13" s="11"/>
      <c r="N13" s="11"/>
      <c r="O13" s="10" t="s">
        <v>140</v>
      </c>
    </row>
    <row r="14" spans="1:19">
      <c r="E14" s="10" t="s">
        <v>149</v>
      </c>
      <c r="H14" s="11"/>
      <c r="I14" s="11"/>
      <c r="J14" s="10" t="s">
        <v>431</v>
      </c>
      <c r="M14" s="11"/>
      <c r="N14" s="11"/>
      <c r="O14" s="10" t="s">
        <v>431</v>
      </c>
    </row>
    <row r="15" spans="1:19">
      <c r="C15" s="11"/>
      <c r="D15" s="11"/>
      <c r="E15" s="10" t="s">
        <v>550</v>
      </c>
      <c r="H15" s="11"/>
      <c r="I15" s="11"/>
      <c r="J15" s="10" t="s">
        <v>134</v>
      </c>
      <c r="M15" s="11"/>
      <c r="N15" s="11"/>
      <c r="O15" s="10" t="s">
        <v>134</v>
      </c>
    </row>
    <row r="16" spans="1:19">
      <c r="E16" s="10" t="s">
        <v>49</v>
      </c>
      <c r="H16" s="11"/>
      <c r="I16" s="11"/>
      <c r="J16" s="10" t="s">
        <v>274</v>
      </c>
      <c r="M16" s="11"/>
      <c r="N16" s="11"/>
      <c r="O16" s="10" t="s">
        <v>274</v>
      </c>
    </row>
    <row r="17" spans="3:15">
      <c r="E17" s="10" t="s">
        <v>133</v>
      </c>
      <c r="H17" s="11"/>
      <c r="I17" s="11"/>
      <c r="J17" s="10" t="s">
        <v>570</v>
      </c>
      <c r="M17" s="11"/>
      <c r="N17" s="11"/>
      <c r="O17" s="10" t="s">
        <v>570</v>
      </c>
    </row>
    <row r="18" spans="3:15">
      <c r="E18" s="10" t="s">
        <v>127</v>
      </c>
      <c r="H18" s="11"/>
      <c r="I18" s="11"/>
      <c r="J18" s="10" t="s">
        <v>410</v>
      </c>
      <c r="M18" s="11"/>
      <c r="N18" s="11"/>
      <c r="O18" s="10" t="s">
        <v>410</v>
      </c>
    </row>
    <row r="19" spans="3:15">
      <c r="E19" s="10" t="s">
        <v>446</v>
      </c>
      <c r="J19" s="10" t="s">
        <v>31</v>
      </c>
      <c r="M19" s="11"/>
      <c r="N19" s="11"/>
      <c r="O19" s="10" t="s">
        <v>31</v>
      </c>
    </row>
    <row r="20" spans="3:15">
      <c r="C20" s="11"/>
      <c r="D20" s="11"/>
      <c r="E20" s="10" t="s">
        <v>273</v>
      </c>
      <c r="H20" s="11"/>
      <c r="I20" s="11"/>
      <c r="J20" s="10" t="s">
        <v>520</v>
      </c>
      <c r="M20" s="11"/>
      <c r="N20" s="11"/>
      <c r="O20" s="10" t="s">
        <v>520</v>
      </c>
    </row>
    <row r="21" spans="3:15">
      <c r="E21" s="10" t="s">
        <v>287</v>
      </c>
      <c r="J21" s="10" t="s">
        <v>124</v>
      </c>
      <c r="M21" s="11"/>
      <c r="N21" s="11"/>
      <c r="O21" s="10" t="s">
        <v>124</v>
      </c>
    </row>
    <row r="22" spans="3:15">
      <c r="E22" s="10" t="s">
        <v>520</v>
      </c>
      <c r="J22" s="10" t="s">
        <v>215</v>
      </c>
      <c r="M22" s="11"/>
      <c r="N22" s="11"/>
      <c r="O22" s="10" t="s">
        <v>215</v>
      </c>
    </row>
    <row r="23" spans="3:15">
      <c r="E23" s="10" t="s">
        <v>274</v>
      </c>
      <c r="J23" s="10" t="s">
        <v>147</v>
      </c>
      <c r="M23" s="11"/>
      <c r="N23" s="11"/>
      <c r="O23" s="10" t="s">
        <v>147</v>
      </c>
    </row>
    <row r="24" spans="3:15">
      <c r="E24" s="10" t="s">
        <v>126</v>
      </c>
      <c r="J24" s="10" t="s">
        <v>139</v>
      </c>
      <c r="M24" s="11"/>
      <c r="N24" s="11"/>
      <c r="O24" s="10" t="s">
        <v>139</v>
      </c>
    </row>
    <row r="25" spans="3:15">
      <c r="E25" s="10" t="s">
        <v>33</v>
      </c>
      <c r="J25" s="10" t="s">
        <v>43</v>
      </c>
      <c r="M25" s="11"/>
      <c r="N25" s="11"/>
      <c r="O25" s="10" t="s">
        <v>43</v>
      </c>
    </row>
    <row r="26" spans="3:15">
      <c r="E26" s="10" t="s">
        <v>272</v>
      </c>
      <c r="J26" s="10" t="s">
        <v>33</v>
      </c>
      <c r="M26" s="11"/>
      <c r="N26" s="11"/>
      <c r="O26" s="10" t="s">
        <v>33</v>
      </c>
    </row>
    <row r="27" spans="3:15">
      <c r="E27" s="10" t="s">
        <v>421</v>
      </c>
      <c r="J27" s="10" t="s">
        <v>270</v>
      </c>
      <c r="M27" s="11"/>
      <c r="N27" s="11"/>
      <c r="O27" s="10" t="s">
        <v>270</v>
      </c>
    </row>
    <row r="28" spans="3:15">
      <c r="E28" s="10" t="s">
        <v>43</v>
      </c>
      <c r="J28" s="10" t="s">
        <v>510</v>
      </c>
      <c r="M28" s="11"/>
      <c r="N28" s="11"/>
      <c r="O28" s="10" t="s">
        <v>510</v>
      </c>
    </row>
    <row r="29" spans="3:15">
      <c r="E29" s="10" t="s">
        <v>92</v>
      </c>
      <c r="J29" s="10" t="s">
        <v>41</v>
      </c>
      <c r="O29" s="10" t="s">
        <v>41</v>
      </c>
    </row>
    <row r="30" spans="3:15">
      <c r="E30" s="10" t="s">
        <v>34</v>
      </c>
      <c r="J30" s="10" t="s">
        <v>129</v>
      </c>
      <c r="O30" s="10" t="s">
        <v>129</v>
      </c>
    </row>
    <row r="31" spans="3:15">
      <c r="E31" s="10" t="s">
        <v>147</v>
      </c>
      <c r="J31" s="10" t="s">
        <v>258</v>
      </c>
      <c r="O31" s="10" t="s">
        <v>258</v>
      </c>
    </row>
    <row r="32" spans="3:15">
      <c r="E32" s="10" t="s">
        <v>457</v>
      </c>
      <c r="J32" s="10" t="s">
        <v>407</v>
      </c>
      <c r="O32" s="10" t="s">
        <v>407</v>
      </c>
    </row>
    <row r="33" spans="5:19">
      <c r="E33" s="10" t="s">
        <v>58</v>
      </c>
      <c r="J33" s="10" t="s">
        <v>136</v>
      </c>
      <c r="O33" s="10" t="s">
        <v>136</v>
      </c>
    </row>
    <row r="34" spans="5:19">
      <c r="E34" s="10" t="s">
        <v>129</v>
      </c>
      <c r="J34" s="10" t="s">
        <v>358</v>
      </c>
      <c r="O34" s="10" t="s">
        <v>358</v>
      </c>
    </row>
    <row r="35" spans="5:19">
      <c r="E35" s="10" t="s">
        <v>211</v>
      </c>
      <c r="J35" s="10" t="s">
        <v>36</v>
      </c>
      <c r="O35" s="10" t="s">
        <v>36</v>
      </c>
    </row>
    <row r="36" spans="5:19">
      <c r="E36" s="10" t="s">
        <v>292</v>
      </c>
      <c r="J36" s="10" t="s">
        <v>480</v>
      </c>
      <c r="O36" s="10" t="s">
        <v>480</v>
      </c>
    </row>
    <row r="37" spans="5:19">
      <c r="E37" s="10" t="s">
        <v>244</v>
      </c>
      <c r="J37" s="10" t="s">
        <v>221</v>
      </c>
      <c r="O37" s="10" t="s">
        <v>221</v>
      </c>
    </row>
    <row r="38" spans="5:19">
      <c r="E38" s="10" t="s">
        <v>135</v>
      </c>
      <c r="J38" s="10" t="s">
        <v>234</v>
      </c>
      <c r="O38" s="10" t="s">
        <v>234</v>
      </c>
    </row>
    <row r="39" spans="5:19">
      <c r="E39" s="10" t="s">
        <v>411</v>
      </c>
      <c r="J39" s="10" t="s">
        <v>557</v>
      </c>
      <c r="O39" s="10" t="s">
        <v>557</v>
      </c>
    </row>
    <row r="40" spans="5:19">
      <c r="E40" s="10" t="s">
        <v>280</v>
      </c>
      <c r="J40" s="10" t="s">
        <v>479</v>
      </c>
      <c r="O40" s="10" t="s">
        <v>479</v>
      </c>
    </row>
    <row r="41" spans="5:19">
      <c r="E41" s="10" t="s">
        <v>428</v>
      </c>
      <c r="J41" s="10" t="s">
        <v>462</v>
      </c>
      <c r="O41" s="10" t="s">
        <v>462</v>
      </c>
    </row>
    <row r="42" spans="5:19">
      <c r="E42" s="10" t="s">
        <v>592</v>
      </c>
      <c r="J42" s="10" t="s">
        <v>218</v>
      </c>
      <c r="O42" s="10" t="s">
        <v>218</v>
      </c>
      <c r="R42" s="11"/>
      <c r="S42" s="11"/>
    </row>
    <row r="43" spans="5:19">
      <c r="E43" s="10" t="s">
        <v>279</v>
      </c>
      <c r="J43" s="10" t="s">
        <v>146</v>
      </c>
      <c r="O43" s="10" t="s">
        <v>146</v>
      </c>
    </row>
    <row r="44" spans="5:19">
      <c r="E44" s="10" t="s">
        <v>213</v>
      </c>
      <c r="J44" s="10" t="s">
        <v>444</v>
      </c>
      <c r="O44" s="10" t="s">
        <v>444</v>
      </c>
    </row>
    <row r="45" spans="5:19">
      <c r="E45" s="10" t="s">
        <v>479</v>
      </c>
      <c r="J45" s="10" t="s">
        <v>40</v>
      </c>
      <c r="O45" s="10" t="s">
        <v>40</v>
      </c>
      <c r="R45" s="11"/>
      <c r="S45" s="11"/>
    </row>
    <row r="46" spans="5:19">
      <c r="E46" s="10" t="s">
        <v>35</v>
      </c>
      <c r="J46" s="10" t="s">
        <v>127</v>
      </c>
      <c r="O46" s="10" t="s">
        <v>127</v>
      </c>
      <c r="R46" s="11"/>
      <c r="S46" s="11"/>
    </row>
    <row r="47" spans="5:19">
      <c r="E47" s="10" t="s">
        <v>118</v>
      </c>
      <c r="J47" s="10" t="s">
        <v>411</v>
      </c>
      <c r="O47" s="10" t="s">
        <v>411</v>
      </c>
    </row>
    <row r="48" spans="5:19">
      <c r="E48" s="10" t="s">
        <v>218</v>
      </c>
      <c r="J48" s="10" t="s">
        <v>478</v>
      </c>
      <c r="O48" s="10" t="s">
        <v>478</v>
      </c>
      <c r="R48" s="11"/>
      <c r="S48" s="11"/>
    </row>
    <row r="49" spans="3:19">
      <c r="E49" s="10" t="s">
        <v>484</v>
      </c>
      <c r="J49" s="10" t="s">
        <v>517</v>
      </c>
      <c r="O49" s="10" t="s">
        <v>517</v>
      </c>
    </row>
    <row r="50" spans="3:19">
      <c r="E50" s="10" t="s">
        <v>431</v>
      </c>
      <c r="J50" s="10" t="s">
        <v>346</v>
      </c>
      <c r="M50" s="11"/>
      <c r="N50" s="11"/>
      <c r="O50" s="10" t="s">
        <v>346</v>
      </c>
    </row>
    <row r="51" spans="3:19">
      <c r="E51" s="10" t="s">
        <v>234</v>
      </c>
      <c r="J51" s="10" t="s">
        <v>251</v>
      </c>
      <c r="O51" s="10" t="s">
        <v>251</v>
      </c>
    </row>
    <row r="52" spans="3:19">
      <c r="E52" s="10" t="s">
        <v>258</v>
      </c>
      <c r="J52" s="10" t="s">
        <v>408</v>
      </c>
      <c r="O52" s="10" t="s">
        <v>408</v>
      </c>
    </row>
    <row r="53" spans="3:19">
      <c r="C53" s="11"/>
      <c r="D53" s="11"/>
      <c r="E53" s="10" t="s">
        <v>120</v>
      </c>
      <c r="J53" s="10" t="s">
        <v>213</v>
      </c>
      <c r="O53" s="10" t="s">
        <v>213</v>
      </c>
      <c r="R53" s="11"/>
      <c r="S53" s="11"/>
    </row>
    <row r="54" spans="3:19">
      <c r="E54" s="10" t="s">
        <v>74</v>
      </c>
      <c r="J54" s="10" t="s">
        <v>58</v>
      </c>
      <c r="O54" s="10" t="s">
        <v>58</v>
      </c>
      <c r="R54" s="11"/>
      <c r="S54" s="11"/>
    </row>
    <row r="55" spans="3:19">
      <c r="E55" s="10" t="s">
        <v>407</v>
      </c>
      <c r="J55" s="10" t="s">
        <v>149</v>
      </c>
      <c r="O55" s="10" t="s">
        <v>149</v>
      </c>
      <c r="R55" s="11"/>
      <c r="S55" s="11"/>
    </row>
    <row r="56" spans="3:19">
      <c r="E56" s="10" t="s">
        <v>141</v>
      </c>
      <c r="J56" s="10" t="s">
        <v>287</v>
      </c>
      <c r="O56" s="10" t="s">
        <v>287</v>
      </c>
      <c r="R56" s="11"/>
      <c r="S56" s="11"/>
    </row>
    <row r="57" spans="3:19">
      <c r="E57" s="10" t="s">
        <v>276</v>
      </c>
      <c r="H57" s="11"/>
      <c r="I57" s="11"/>
      <c r="J57" s="10" t="s">
        <v>219</v>
      </c>
      <c r="O57" s="10" t="s">
        <v>219</v>
      </c>
      <c r="R57" s="11"/>
      <c r="S57" s="11"/>
    </row>
    <row r="58" spans="3:19">
      <c r="C58" s="11"/>
      <c r="D58" s="11"/>
      <c r="H58" s="11"/>
      <c r="I58" s="11"/>
      <c r="J58" s="10" t="s">
        <v>123</v>
      </c>
      <c r="M58" s="11"/>
      <c r="N58" s="11"/>
      <c r="O58" s="10" t="s">
        <v>123</v>
      </c>
      <c r="R58" s="11"/>
      <c r="S58" s="11"/>
    </row>
    <row r="59" spans="3:19">
      <c r="C59" s="11"/>
      <c r="D59" s="11"/>
      <c r="H59" s="11"/>
      <c r="I59" s="11"/>
      <c r="J59" s="10" t="s">
        <v>142</v>
      </c>
      <c r="M59" s="11"/>
      <c r="N59" s="11"/>
      <c r="O59" s="10" t="s">
        <v>142</v>
      </c>
      <c r="R59" s="11"/>
      <c r="S59" s="11"/>
    </row>
    <row r="60" spans="3:19">
      <c r="H60" s="11"/>
      <c r="I60" s="11"/>
      <c r="J60" s="10" t="s">
        <v>484</v>
      </c>
      <c r="M60" s="11"/>
      <c r="N60" s="11"/>
      <c r="O60" s="10" t="s">
        <v>484</v>
      </c>
      <c r="R60" s="11"/>
      <c r="S60" s="11"/>
    </row>
    <row r="61" spans="3:19">
      <c r="C61" s="11"/>
      <c r="D61" s="11"/>
      <c r="H61" s="11"/>
      <c r="I61" s="11"/>
      <c r="J61" s="10" t="s">
        <v>280</v>
      </c>
      <c r="O61" s="10" t="s">
        <v>280</v>
      </c>
      <c r="R61" s="11"/>
      <c r="S61" s="11"/>
    </row>
    <row r="62" spans="3:19">
      <c r="C62" s="11"/>
      <c r="D62" s="11"/>
      <c r="H62" s="11"/>
      <c r="I62" s="11"/>
      <c r="J62" s="10" t="s">
        <v>550</v>
      </c>
      <c r="O62" s="10" t="s">
        <v>550</v>
      </c>
      <c r="R62" s="11"/>
      <c r="S62" s="11"/>
    </row>
    <row r="63" spans="3:19">
      <c r="C63" s="11"/>
      <c r="D63" s="11"/>
      <c r="H63" s="11"/>
      <c r="I63" s="11"/>
      <c r="J63" s="10" t="s">
        <v>130</v>
      </c>
      <c r="O63" s="10" t="s">
        <v>130</v>
      </c>
    </row>
    <row r="64" spans="3:19">
      <c r="J64" s="10" t="s">
        <v>489</v>
      </c>
      <c r="O64" s="10" t="s">
        <v>489</v>
      </c>
    </row>
    <row r="65" spans="10:15">
      <c r="J65" s="10" t="s">
        <v>16</v>
      </c>
      <c r="O65" s="10" t="s">
        <v>16</v>
      </c>
    </row>
    <row r="66" spans="10:15">
      <c r="J66" s="10" t="s">
        <v>512</v>
      </c>
      <c r="O66" s="10" t="s">
        <v>512</v>
      </c>
    </row>
    <row r="67" spans="10:15">
      <c r="J67" s="10" t="s">
        <v>120</v>
      </c>
      <c r="O67" s="10" t="s">
        <v>120</v>
      </c>
    </row>
    <row r="68" spans="10:15">
      <c r="J68" s="10" t="s">
        <v>592</v>
      </c>
      <c r="O68" s="10" t="s">
        <v>592</v>
      </c>
    </row>
    <row r="69" spans="10:15">
      <c r="J69" s="10" t="s">
        <v>446</v>
      </c>
      <c r="O69" s="10" t="s">
        <v>446</v>
      </c>
    </row>
    <row r="70" spans="10:15">
      <c r="J70" s="10" t="s">
        <v>370</v>
      </c>
      <c r="O70" s="10" t="s">
        <v>370</v>
      </c>
    </row>
    <row r="71" spans="10:15">
      <c r="J71" s="10" t="s">
        <v>389</v>
      </c>
      <c r="O71" s="10" t="s">
        <v>389</v>
      </c>
    </row>
    <row r="72" spans="10:15">
      <c r="J72" s="10" t="s">
        <v>285</v>
      </c>
      <c r="O72" s="10" t="s">
        <v>285</v>
      </c>
    </row>
    <row r="73" spans="10:15">
      <c r="J73" s="10" t="s">
        <v>296</v>
      </c>
      <c r="O73" s="10" t="s">
        <v>296</v>
      </c>
    </row>
    <row r="74" spans="10:15">
      <c r="J74" s="10" t="s">
        <v>141</v>
      </c>
      <c r="O74" s="10" t="s">
        <v>141</v>
      </c>
    </row>
    <row r="75" spans="10:15">
      <c r="J75" s="10" t="s">
        <v>214</v>
      </c>
      <c r="O75" s="10" t="s">
        <v>214</v>
      </c>
    </row>
    <row r="76" spans="10:15">
      <c r="J76" s="10" t="s">
        <v>135</v>
      </c>
      <c r="O76" s="10" t="s">
        <v>135</v>
      </c>
    </row>
    <row r="77" spans="10:15">
      <c r="J77" s="10" t="s">
        <v>125</v>
      </c>
      <c r="O77" s="10" t="s">
        <v>125</v>
      </c>
    </row>
    <row r="78" spans="10:15">
      <c r="J78" s="10" t="s">
        <v>390</v>
      </c>
      <c r="O78" s="10" t="s">
        <v>390</v>
      </c>
    </row>
    <row r="79" spans="10:15">
      <c r="J79" s="10" t="s">
        <v>511</v>
      </c>
      <c r="O79" s="10" t="s">
        <v>511</v>
      </c>
    </row>
    <row r="80" spans="10:15">
      <c r="J80" s="10" t="s">
        <v>567</v>
      </c>
      <c r="O80" s="10" t="s">
        <v>567</v>
      </c>
    </row>
    <row r="81" spans="10:15">
      <c r="J81" s="10" t="s">
        <v>409</v>
      </c>
      <c r="O81" s="10" t="s">
        <v>409</v>
      </c>
    </row>
    <row r="82" spans="10:15">
      <c r="J82" s="10" t="s">
        <v>126</v>
      </c>
      <c r="O82" s="10" t="s">
        <v>126</v>
      </c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9"/>
  <sheetViews>
    <sheetView zoomScaleNormal="100" workbookViewId="0">
      <selection activeCell="K17" sqref="K17"/>
    </sheetView>
  </sheetViews>
  <sheetFormatPr defaultRowHeight="15"/>
  <cols>
    <col min="1" max="1" width="16.140625" style="1" bestFit="1" customWidth="1"/>
    <col min="2" max="2" width="4.5703125" style="2" bestFit="1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5.28515625" style="2" bestFit="1" customWidth="1"/>
    <col min="7" max="7" width="5.28515625" bestFit="1" customWidth="1"/>
    <col min="8" max="11" width="9.5703125" bestFit="1" customWidth="1"/>
  </cols>
  <sheetData>
    <row r="1" spans="1:11" ht="15.75">
      <c r="A1" s="15" t="s">
        <v>5</v>
      </c>
      <c r="B1" s="16" t="s">
        <v>18</v>
      </c>
      <c r="C1" s="16" t="s">
        <v>9</v>
      </c>
      <c r="D1" s="16" t="s">
        <v>19</v>
      </c>
      <c r="E1" s="16" t="s">
        <v>6</v>
      </c>
      <c r="F1" s="16" t="s">
        <v>505</v>
      </c>
      <c r="G1" s="16" t="s">
        <v>477</v>
      </c>
      <c r="J1" s="19"/>
      <c r="K1" s="19"/>
    </row>
    <row r="2" spans="1:11" ht="16.5">
      <c r="A2" s="10" t="s">
        <v>49</v>
      </c>
      <c r="B2" s="4">
        <f>VLOOKUP(A2,联盟DKP榜单!A$1:C$598,3,FALSE)-40*COUNTIF(扣分!A:A,A2)+IF(ISNA(VLOOKUP(A2,结余!A$1:B$600,2,0)),0,VLOOKUP(A2,结余!A$1:B$600,2,0))</f>
        <v>484</v>
      </c>
      <c r="C2" s="18">
        <f>50*COUNTIF(帮战总榜!A$1:AB$150,$A2)+40*COUNTIF(掠夺!A$1:AB$150,$A2)</f>
        <v>230</v>
      </c>
      <c r="D2" s="18">
        <f>20*COUNTIF(YY统计!A$2:M$150,$A2)</f>
        <v>20</v>
      </c>
      <c r="E2" s="18">
        <f>SUM(B2:D2)</f>
        <v>734</v>
      </c>
      <c r="F2" s="20">
        <f>IF(AND(E2&gt;0,E2&lt;66),0.01,ROUNDDOWN((E2-16)/50,0))</f>
        <v>14</v>
      </c>
      <c r="G2" s="9">
        <f>IF(AND(F2&gt;=1,F2&lt;=6),E2-F2*50-16,IF(F2=0.01,E2-16,IF(F2=0,0,IF(F2&gt;6,E2-316,0))))</f>
        <v>418</v>
      </c>
      <c r="J2" s="3"/>
      <c r="K2" s="3"/>
    </row>
    <row r="3" spans="1:11" ht="16.5">
      <c r="A3" s="10" t="s">
        <v>27</v>
      </c>
      <c r="B3" s="4">
        <f>VLOOKUP(A3,联盟DKP榜单!A$1:C$598,3,FALSE)-40*COUNTIF(扣分!A:A,A3)+IF(ISNA(VLOOKUP(A3,结余!A$1:B$600,2,0)),0,VLOOKUP(A3,结余!A$1:B$600,2,0))</f>
        <v>186</v>
      </c>
      <c r="C3" s="21">
        <f>50*COUNTIF(帮战总榜!A$1:AB$150,$A3)+40*COUNTIF(掠夺!A$1:AB$150,$A3)</f>
        <v>230</v>
      </c>
      <c r="D3" s="21">
        <f>20*COUNTIF(YY统计!A$2:M$150,$A3)</f>
        <v>40</v>
      </c>
      <c r="E3" s="21">
        <f>SUM(B3:D3)</f>
        <v>456</v>
      </c>
      <c r="F3" s="21">
        <f>IF(AND(E3&gt;0,E3&lt;66),0.01,ROUNDDOWN((E3-16)/50,0))</f>
        <v>8</v>
      </c>
      <c r="G3" s="9">
        <f>IF(AND(F3&gt;=1,F3&lt;=6),E3-F3*50-16,IF(F3=0.01,E3-16,IF(F3=0,0,IF(F3&gt;6,E3-316,0))))</f>
        <v>140</v>
      </c>
    </row>
    <row r="4" spans="1:11" ht="16.5">
      <c r="A4" s="10" t="s">
        <v>58</v>
      </c>
      <c r="B4" s="4">
        <f>VLOOKUP(A4,联盟DKP榜单!A$1:C$598,3,FALSE)-40*COUNTIF(扣分!A:A,A4)+IF(ISNA(VLOOKUP(A4,结余!A$1:B$600,2,0)),0,VLOOKUP(A4,结余!A$1:B$600,2,0))</f>
        <v>151</v>
      </c>
      <c r="C4" s="21">
        <f>50*COUNTIF(帮战总榜!A$1:AB$150,$A4)+40*COUNTIF(掠夺!A$1:AB$150,$A4)</f>
        <v>230</v>
      </c>
      <c r="D4" s="21">
        <f>20*COUNTIF(YY统计!A$2:M$150,$A4)</f>
        <v>20</v>
      </c>
      <c r="E4" s="21">
        <f>SUM(B4:D4)</f>
        <v>401</v>
      </c>
      <c r="F4" s="21">
        <f>IF(AND(E4&gt;0,E4&lt;66),0.01,ROUNDDOWN((E4-16)/50,0))</f>
        <v>7</v>
      </c>
      <c r="G4" s="9">
        <f>IF(AND(F4&gt;=1,F4&lt;=6),E4-F4*50-16,IF(F4=0.01,E4-16,IF(F4=0,0,IF(F4&gt;6,E4-316,0))))</f>
        <v>85</v>
      </c>
    </row>
    <row r="5" spans="1:11" ht="16.5">
      <c r="A5" s="10" t="s">
        <v>33</v>
      </c>
      <c r="B5" s="4">
        <f>VLOOKUP(A5,联盟DKP榜单!A$1:C$598,3,FALSE)-40*COUNTIF(扣分!A:A,A5)+IF(ISNA(VLOOKUP(A5,结余!A$1:B$600,2,0)),0,VLOOKUP(A5,结余!A$1:B$600,2,0))</f>
        <v>145</v>
      </c>
      <c r="C5" s="21">
        <f>50*COUNTIF(帮战总榜!A$1:AB$150,$A5)+40*COUNTIF(掠夺!A$1:AB$150,$A5)</f>
        <v>230</v>
      </c>
      <c r="D5" s="21">
        <f>20*COUNTIF(YY统计!A$2:M$150,$A5)</f>
        <v>20</v>
      </c>
      <c r="E5" s="21">
        <f>SUM(B5:D5)</f>
        <v>395</v>
      </c>
      <c r="F5" s="21">
        <f>IF(AND(E5&gt;0,E5&lt;66),0.01,ROUNDDOWN((E5-16)/50,0))</f>
        <v>7</v>
      </c>
      <c r="G5" s="9">
        <f>IF(AND(F5&gt;=1,F5&lt;=6),E5-F5*50-16,IF(F5=0.01,E5-16,IF(F5=0,0,IF(F5&gt;6,E5-316,0))))</f>
        <v>79</v>
      </c>
    </row>
    <row r="6" spans="1:11" ht="16.5">
      <c r="A6" s="10" t="s">
        <v>389</v>
      </c>
      <c r="B6" s="4">
        <f>VLOOKUP(A6,联盟DKP榜单!A$1:C$598,3,FALSE)-40*COUNTIF(扣分!A:A,A6)+IF(ISNA(VLOOKUP(A6,结余!A$1:B$600,2,0)),0,VLOOKUP(A6,结余!A$1:B$600,2,0))</f>
        <v>191</v>
      </c>
      <c r="C6" s="21">
        <f>50*COUNTIF(帮战总榜!A$1:AB$150,$A6)+40*COUNTIF(掠夺!A$1:AB$150,$A6)</f>
        <v>180</v>
      </c>
      <c r="D6" s="21">
        <f>20*COUNTIF(YY统计!A$2:M$150,$A6)</f>
        <v>40</v>
      </c>
      <c r="E6" s="21">
        <f>SUM(B6:D6)</f>
        <v>411</v>
      </c>
      <c r="F6" s="21">
        <f>IF(AND(E6&gt;0,E6&lt;66),0.01,ROUNDDOWN((E6-16)/50,0))</f>
        <v>7</v>
      </c>
      <c r="G6" s="9">
        <f>IF(AND(F6&gt;=1,F6&lt;=6),E6-F6*50-16,IF(F6=0.01,E6-16,IF(F6=0,0,IF(F6&gt;6,E6-316,0))))</f>
        <v>95</v>
      </c>
    </row>
    <row r="7" spans="1:11" ht="16.5">
      <c r="A7" s="10" t="s">
        <v>431</v>
      </c>
      <c r="B7" s="4">
        <f>VLOOKUP(A7,联盟DKP榜单!A$1:C$598,3,FALSE)-40*COUNTIF(扣分!A:A,A7)+IF(ISNA(VLOOKUP(A7,结余!A$1:B$600,2,0)),0,VLOOKUP(A7,结余!A$1:B$600,2,0))</f>
        <v>169</v>
      </c>
      <c r="C7" s="21">
        <f>50*COUNTIF(帮战总榜!A$1:AB$150,$A7)+40*COUNTIF(掠夺!A$1:AB$150,$A7)</f>
        <v>150</v>
      </c>
      <c r="D7" s="21">
        <f>20*COUNTIF(YY统计!A$2:M$150,$A7)</f>
        <v>0</v>
      </c>
      <c r="E7" s="21">
        <f>SUM(B7:D7)</f>
        <v>319</v>
      </c>
      <c r="F7" s="21">
        <f>IF(AND(E7&gt;0,E7&lt;66),0.01,ROUNDDOWN((E7-16)/50,0))</f>
        <v>6</v>
      </c>
      <c r="G7" s="9">
        <f>IF(AND(F7&gt;=1,F7&lt;=6),E7-F7*50-16,IF(F7=0.01,E7-16,IF(F7=0,0,IF(F7&gt;6,E7-316,0))))</f>
        <v>3</v>
      </c>
    </row>
    <row r="8" spans="1:11" ht="16.5">
      <c r="A8" s="10" t="s">
        <v>478</v>
      </c>
      <c r="B8" s="4">
        <f>VLOOKUP(A8,联盟DKP榜单!A$1:C$598,3,FALSE)-40*COUNTIF(扣分!A:A,A8)+IF(ISNA(VLOOKUP(A8,结余!A$1:B$600,2,0)),0,VLOOKUP(A8,结余!A$1:B$600,2,0))</f>
        <v>194</v>
      </c>
      <c r="C8" s="21">
        <f>50*COUNTIF(帮战总榜!A$1:AB$150,$A8)+40*COUNTIF(掠夺!A$1:AB$150,$A8)</f>
        <v>140</v>
      </c>
      <c r="D8" s="21">
        <f>20*COUNTIF(YY统计!A$2:M$150,$A8)</f>
        <v>40</v>
      </c>
      <c r="E8" s="21">
        <f>SUM(B8:D8)</f>
        <v>374</v>
      </c>
      <c r="F8" s="21">
        <f>IF(AND(E8&gt;0,E8&lt;66),0.01,ROUNDDOWN((E8-16)/50,0))</f>
        <v>7</v>
      </c>
      <c r="G8" s="9">
        <f>IF(AND(F8&gt;=1,F8&lt;=6),E8-F8*50-16,IF(F8=0.01,E8-16,IF(F8=0,0,IF(F8&gt;6,E8-316,0))))</f>
        <v>58</v>
      </c>
    </row>
    <row r="9" spans="1:11" ht="16.5">
      <c r="A9" s="10" t="s">
        <v>484</v>
      </c>
      <c r="B9" s="4">
        <f>VLOOKUP(A9,联盟DKP榜单!A$1:C$598,3,FALSE)-40*COUNTIF(扣分!A:A,A9)+IF(ISNA(VLOOKUP(A9,结余!A$1:B$600,2,0)),0,VLOOKUP(A9,结余!A$1:B$600,2,0))</f>
        <v>116</v>
      </c>
      <c r="C9" s="21">
        <f>50*COUNTIF(帮战总榜!A$1:AB$150,$A9)+40*COUNTIF(掠夺!A$1:AB$150,$A9)</f>
        <v>230</v>
      </c>
      <c r="D9" s="21">
        <f>20*COUNTIF(YY统计!A$2:M$150,$A9)</f>
        <v>40</v>
      </c>
      <c r="E9" s="21">
        <f>SUM(B9:D9)</f>
        <v>386</v>
      </c>
      <c r="F9" s="21">
        <f>IF(AND(E9&gt;0,E9&lt;66),0.01,ROUNDDOWN((E9-16)/50,0))</f>
        <v>7</v>
      </c>
      <c r="G9" s="9">
        <f>IF(AND(F9&gt;=1,F9&lt;=6),E9-F9*50-16,IF(F9=0.01,E9-16,IF(F9=0,0,IF(F9&gt;6,E9-316,0))))</f>
        <v>70</v>
      </c>
    </row>
    <row r="10" spans="1:11" ht="16.5">
      <c r="A10" s="10" t="s">
        <v>41</v>
      </c>
      <c r="B10" s="4">
        <f>VLOOKUP(A10,联盟DKP榜单!A$1:C$598,3,FALSE)-40*COUNTIF(扣分!A:A,A10)+IF(ISNA(VLOOKUP(A10,结余!A$1:B$600,2,0)),0,VLOOKUP(A10,结余!A$1:B$600,2,0))</f>
        <v>154</v>
      </c>
      <c r="C10" s="21">
        <f>50*COUNTIF(帮战总榜!A$1:AB$150,$A10)+40*COUNTIF(掠夺!A$1:AB$150,$A10)</f>
        <v>180</v>
      </c>
      <c r="D10" s="21">
        <f>20*COUNTIF(YY统计!A$2:M$150,$A10)</f>
        <v>20</v>
      </c>
      <c r="E10" s="21">
        <f>SUM(B10:D10)</f>
        <v>354</v>
      </c>
      <c r="F10" s="21">
        <f>IF(AND(E10&gt;0,E10&lt;66),0.01,ROUNDDOWN((E10-16)/50,0))</f>
        <v>6</v>
      </c>
      <c r="G10" s="9">
        <f>IF(AND(F10&gt;=1,F10&lt;=6),E10-F10*50-16,IF(F10=0.01,E10-16,IF(F10=0,0,IF(F10&gt;6,E10-316,0))))</f>
        <v>38</v>
      </c>
    </row>
    <row r="11" spans="1:11" ht="16.5">
      <c r="A11" s="10" t="s">
        <v>390</v>
      </c>
      <c r="B11" s="4">
        <f>VLOOKUP(A11,联盟DKP榜单!A$1:C$598,3,FALSE)-40*COUNTIF(扣分!A:A,A11)+IF(ISNA(VLOOKUP(A11,结余!A$1:B$600,2,0)),0,VLOOKUP(A11,结余!A$1:B$600,2,0))</f>
        <v>147</v>
      </c>
      <c r="C11" s="21">
        <f>50*COUNTIF(帮战总榜!A$1:AB$150,$A11)+40*COUNTIF(掠夺!A$1:AB$150,$A11)</f>
        <v>140</v>
      </c>
      <c r="D11" s="21">
        <f>20*COUNTIF(YY统计!A$2:M$150,$A11)</f>
        <v>0</v>
      </c>
      <c r="E11" s="21">
        <f>SUM(B11:D11)</f>
        <v>287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21</v>
      </c>
    </row>
    <row r="12" spans="1:11" ht="16.5">
      <c r="A12" s="10" t="s">
        <v>28</v>
      </c>
      <c r="B12" s="4">
        <f>VLOOKUP(A12,联盟DKP榜单!A$1:C$598,3,FALSE)-40*COUNTIF(扣分!A:A,A12)+IF(ISNA(VLOOKUP(A12,结余!A$1:B$600,2,0)),0,VLOOKUP(A12,结余!A$1:B$600,2,0))</f>
        <v>272</v>
      </c>
      <c r="C12" s="21">
        <f>50*COUNTIF(帮战总榜!A$1:AB$150,$A12)+40*COUNTIF(掠夺!A$1:AB$150,$A12)</f>
        <v>0</v>
      </c>
      <c r="D12" s="21">
        <f>20*COUNTIF(YY统计!A$2:M$150,$A12)</f>
        <v>0</v>
      </c>
      <c r="E12" s="21">
        <f>SUM(B12:D12)</f>
        <v>272</v>
      </c>
      <c r="F12" s="21">
        <f>IF(AND(E12&gt;0,E12&lt;66),0.01,ROUNDDOWN((E12-16)/50,0))</f>
        <v>5</v>
      </c>
      <c r="G12" s="9">
        <f>IF(AND(F12&gt;=1,F12&lt;=6),E12-F12*50-16,IF(F12=0.01,E12-16,IF(F12=0,0,IF(F12&gt;6,E12-316,0))))</f>
        <v>6</v>
      </c>
    </row>
    <row r="13" spans="1:11" ht="16.5">
      <c r="A13" s="10" t="s">
        <v>31</v>
      </c>
      <c r="B13" s="4">
        <f>VLOOKUP(A13,联盟DKP榜单!A$1:C$598,3,FALSE)-40*COUNTIF(扣分!A:A,A13)+IF(ISNA(VLOOKUP(A13,结余!A$1:B$600,2,0)),0,VLOOKUP(A13,结余!A$1:B$600,2,0))</f>
        <v>112</v>
      </c>
      <c r="C13" s="21">
        <f>50*COUNTIF(帮战总榜!A$1:AB$150,$A13)+40*COUNTIF(掠夺!A$1:AB$150,$A13)</f>
        <v>140</v>
      </c>
      <c r="D13" s="21">
        <f>20*COUNTIF(YY统计!A$2:M$150,$A13)</f>
        <v>20</v>
      </c>
      <c r="E13" s="21">
        <f>SUM(B13:D13)</f>
        <v>272</v>
      </c>
      <c r="F13" s="21">
        <f>IF(AND(E13&gt;0,E13&lt;66),0.01,ROUNDDOWN((E13-16)/50,0))</f>
        <v>5</v>
      </c>
      <c r="G13" s="9">
        <f>IF(AND(F13&gt;=1,F13&lt;=6),E13-F13*50-16,IF(F13=0.01,E13-16,IF(F13=0,0,IF(F13&gt;6,E13-316,0))))</f>
        <v>6</v>
      </c>
    </row>
    <row r="14" spans="1:11" ht="16.5">
      <c r="A14" s="10" t="s">
        <v>34</v>
      </c>
      <c r="B14" s="4">
        <f>VLOOKUP(A14,联盟DKP榜单!A$1:C$598,3,FALSE)-40*COUNTIF(扣分!A:A,A14)+IF(ISNA(VLOOKUP(A14,结余!A$1:B$600,2,0)),0,VLOOKUP(A14,结余!A$1:B$600,2,0))</f>
        <v>128</v>
      </c>
      <c r="C14" s="21">
        <f>50*COUNTIF(帮战总榜!A$1:AB$150,$A14)+40*COUNTIF(掠夺!A$1:AB$150,$A14)</f>
        <v>130</v>
      </c>
      <c r="D14" s="21">
        <f>20*COUNTIF(YY统计!A$2:M$150,$A14)</f>
        <v>20</v>
      </c>
      <c r="E14" s="21">
        <f>SUM(B14:D14)</f>
        <v>278</v>
      </c>
      <c r="F14" s="21">
        <f>IF(AND(E14&gt;0,E14&lt;66),0.01,ROUNDDOWN((E14-16)/50,0))</f>
        <v>5</v>
      </c>
      <c r="G14" s="9">
        <f>IF(AND(F14&gt;=1,F14&lt;=6),E14-F14*50-16,IF(F14=0.01,E14-16,IF(F14=0,0,IF(F14&gt;6,E14-316,0))))</f>
        <v>12</v>
      </c>
    </row>
    <row r="15" spans="1:11" ht="16.5">
      <c r="A15" s="10" t="s">
        <v>40</v>
      </c>
      <c r="B15" s="4">
        <f>VLOOKUP(A15,联盟DKP榜单!A$1:C$598,3,FALSE)-40*COUNTIF(扣分!A:A,A15)+IF(ISNA(VLOOKUP(A15,结余!A$1:B$600,2,0)),0,VLOOKUP(A15,结余!A$1:B$600,2,0))</f>
        <v>78</v>
      </c>
      <c r="C15" s="21">
        <f>50*COUNTIF(帮战总榜!A$1:AB$150,$A15)+40*COUNTIF(掠夺!A$1:AB$150,$A15)</f>
        <v>180</v>
      </c>
      <c r="D15" s="21">
        <f>20*COUNTIF(YY统计!A$2:M$150,$A15)</f>
        <v>0</v>
      </c>
      <c r="E15" s="21">
        <f>SUM(B15:D15)</f>
        <v>258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42</v>
      </c>
    </row>
    <row r="16" spans="1:11" ht="16.5">
      <c r="A16" s="10" t="s">
        <v>36</v>
      </c>
      <c r="B16" s="4">
        <f>VLOOKUP(A16,联盟DKP榜单!A$1:C$598,3,FALSE)-40*COUNTIF(扣分!A:A,A16)+IF(ISNA(VLOOKUP(A16,结余!A$1:B$600,2,0)),0,VLOOKUP(A16,结余!A$1:B$600,2,0))</f>
        <v>61</v>
      </c>
      <c r="C16" s="21">
        <f>50*COUNTIF(帮战总榜!A$1:AB$150,$A16)+40*COUNTIF(掠夺!A$1:AB$150,$A16)</f>
        <v>180</v>
      </c>
      <c r="D16" s="21">
        <f>20*COUNTIF(YY统计!A$2:M$150,$A16)</f>
        <v>0</v>
      </c>
      <c r="E16" s="21">
        <f>SUM(B16:D16)</f>
        <v>241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25</v>
      </c>
    </row>
    <row r="17" spans="1:7" ht="16.5">
      <c r="A17" s="10" t="s">
        <v>74</v>
      </c>
      <c r="B17" s="4">
        <f>VLOOKUP(A17,联盟DKP榜单!A$1:C$598,3,FALSE)-40*COUNTIF(扣分!A:A,A17)+IF(ISNA(VLOOKUP(A17,结余!A$1:B$600,2,0)),0,VLOOKUP(A17,结余!A$1:B$600,2,0))</f>
        <v>149</v>
      </c>
      <c r="C17" s="21">
        <f>50*COUNTIF(帮战总榜!A$1:AB$150,$A17)+40*COUNTIF(掠夺!A$1:AB$150,$A17)</f>
        <v>50</v>
      </c>
      <c r="D17" s="21">
        <f>20*COUNTIF(YY统计!A$2:M$150,$A17)</f>
        <v>0</v>
      </c>
      <c r="E17" s="21">
        <f>SUM(B17:D17)</f>
        <v>199</v>
      </c>
      <c r="F17" s="21">
        <f>IF(AND(E17&gt;0,E17&lt;66),0.01,ROUNDDOWN((E17-16)/50,0))</f>
        <v>3</v>
      </c>
      <c r="G17" s="9">
        <f>IF(AND(F17&gt;=1,F17&lt;=6),E17-F17*50-16,IF(F17=0.01,E17-16,IF(F17=0,0,IF(F17&gt;6,E17-316,0))))</f>
        <v>33</v>
      </c>
    </row>
    <row r="18" spans="1:7" ht="16.5">
      <c r="A18" s="10" t="s">
        <v>35</v>
      </c>
      <c r="B18" s="4">
        <f>VLOOKUP(A18,联盟DKP榜单!A$1:C$598,3,FALSE)-40*COUNTIF(扣分!A:A,A18)+IF(ISNA(VLOOKUP(A18,结余!A$1:B$600,2,0)),0,VLOOKUP(A18,结余!A$1:B$600,2,0))</f>
        <v>122</v>
      </c>
      <c r="C18" s="21">
        <f>50*COUNTIF(帮战总榜!A$1:AB$150,$A18)+40*COUNTIF(掠夺!A$1:AB$150,$A18)</f>
        <v>50</v>
      </c>
      <c r="D18" s="21">
        <f>20*COUNTIF(YY统计!A$2:M$150,$A18)</f>
        <v>0</v>
      </c>
      <c r="E18" s="21">
        <f>SUM(B18:D18)</f>
        <v>172</v>
      </c>
      <c r="F18" s="21">
        <f>IF(AND(E18&gt;0,E18&lt;66),0.01,ROUNDDOWN((E18-16)/50,0))</f>
        <v>3</v>
      </c>
      <c r="G18" s="9">
        <f>IF(AND(F18&gt;=1,F18&lt;=6),E18-F18*50-16,IF(F18=0.01,E18-16,IF(F18=0,0,IF(F18&gt;6,E18-316,0))))</f>
        <v>6</v>
      </c>
    </row>
    <row r="19" spans="1:7" ht="16.5">
      <c r="A19" s="10" t="s">
        <v>16</v>
      </c>
      <c r="B19" s="4">
        <f>VLOOKUP(A19,联盟DKP榜单!A$1:C$598,3,FALSE)-40*COUNTIF(扣分!A:A,A19)+IF(ISNA(VLOOKUP(A19,结余!A$1:B$600,2,0)),0,VLOOKUP(A19,结余!A$1:B$600,2,0))</f>
        <v>73</v>
      </c>
      <c r="C19" s="21">
        <f>50*COUNTIF(帮战总榜!A$1:AB$150,$A19)+40*COUNTIF(掠夺!A$1:AB$150,$A19)</f>
        <v>100</v>
      </c>
      <c r="D19" s="21">
        <f>20*COUNTIF(YY统计!A$2:M$150,$A19)</f>
        <v>0</v>
      </c>
      <c r="E19" s="21">
        <f>SUM(B19:D19)</f>
        <v>173</v>
      </c>
      <c r="F19" s="21">
        <f>IF(AND(E19&gt;0,E19&lt;66),0.01,ROUNDDOWN((E19-16)/50,0))</f>
        <v>3</v>
      </c>
      <c r="G19" s="9">
        <f>IF(AND(F19&gt;=1,F19&lt;=6),E19-F19*50-16,IF(F19=0.01,E19-16,IF(F19=0,0,IF(F19&gt;6,E19-316,0))))</f>
        <v>7</v>
      </c>
    </row>
    <row r="20" spans="1:7" ht="16.5">
      <c r="A20" s="10" t="s">
        <v>38</v>
      </c>
      <c r="B20" s="4">
        <f>VLOOKUP(A20,联盟DKP榜单!A$1:C$598,3,FALSE)-40*COUNTIF(扣分!A:A,A20)+IF(ISNA(VLOOKUP(A20,结余!A$1:B$600,2,0)),0,VLOOKUP(A20,结余!A$1:B$600,2,0))</f>
        <v>72</v>
      </c>
      <c r="C20" s="21">
        <f>50*COUNTIF(帮战总榜!A$1:AB$150,$A20)+40*COUNTIF(掠夺!A$1:AB$150,$A20)</f>
        <v>80</v>
      </c>
      <c r="D20" s="21">
        <f>20*COUNTIF(YY统计!A$2:M$150,$A20)</f>
        <v>20</v>
      </c>
      <c r="E20" s="21">
        <f>SUM(B20:D20)</f>
        <v>172</v>
      </c>
      <c r="F20" s="21">
        <f>IF(AND(E20&gt;0,E20&lt;66),0.01,ROUNDDOWN((E20-16)/50,0))</f>
        <v>3</v>
      </c>
      <c r="G20" s="9">
        <f>IF(AND(F20&gt;=1,F20&lt;=6),E20-F20*50-16,IF(F20=0.01,E20-16,IF(F20=0,0,IF(F20&gt;6,E20-316,0))))</f>
        <v>6</v>
      </c>
    </row>
    <row r="21" spans="1:7" ht="16.5">
      <c r="A21" s="10" t="s">
        <v>103</v>
      </c>
      <c r="B21" s="4">
        <f>VLOOKUP(A21,联盟DKP榜单!A$1:C$598,3,FALSE)-40*COUNTIF(扣分!A:A,A21)+IF(ISNA(VLOOKUP(A21,结余!A$1:B$600,2,0)),0,VLOOKUP(A21,结余!A$1:B$600,2,0))</f>
        <v>43</v>
      </c>
      <c r="C21" s="21">
        <f>50*COUNTIF(帮战总榜!A$1:AB$150,$A21)+40*COUNTIF(掠夺!A$1:AB$150,$A21)</f>
        <v>80</v>
      </c>
      <c r="D21" s="21">
        <f>20*COUNTIF(YY统计!A$2:M$150,$A21)</f>
        <v>0</v>
      </c>
      <c r="E21" s="21">
        <f>SUM(B21:D21)</f>
        <v>123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7</v>
      </c>
    </row>
    <row r="22" spans="1:7" ht="16.5">
      <c r="A22" s="10" t="s">
        <v>570</v>
      </c>
      <c r="B22" s="4">
        <f>VLOOKUP(A22,联盟DKP榜单!A$1:C$598,3,FALSE)-40*COUNTIF(扣分!A:A,A22)+IF(ISNA(VLOOKUP(A22,结余!A$1:B$600,2,0)),0,VLOOKUP(A22,结余!A$1:B$600,2,0))</f>
        <v>65</v>
      </c>
      <c r="C22" s="21">
        <f>50*COUNTIF(帮战总榜!A$1:AB$150,$A22)+40*COUNTIF(掠夺!A$1:AB$150,$A22)</f>
        <v>100</v>
      </c>
      <c r="D22" s="21">
        <f>20*COUNTIF(YY统计!A$2:M$150,$A22)</f>
        <v>0</v>
      </c>
      <c r="E22" s="21">
        <f>SUM(B22:D22)</f>
        <v>165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49</v>
      </c>
    </row>
    <row r="23" spans="1:7" ht="16.5">
      <c r="A23" s="10" t="s">
        <v>576</v>
      </c>
      <c r="B23" s="4">
        <f>VLOOKUP(A23,联盟DKP榜单!A$1:C$598,3,FALSE)-40*COUNTIF(扣分!A:A,A23)+IF(ISNA(VLOOKUP(A23,结余!A$1:B$600,2,0)),0,VLOOKUP(A23,结余!A$1:B$600,2,0))</f>
        <v>55</v>
      </c>
      <c r="C23" s="21">
        <f>50*COUNTIF(帮战总榜!A$1:AB$150,$A23)+40*COUNTIF(掠夺!A$1:AB$150,$A23)</f>
        <v>100</v>
      </c>
      <c r="D23" s="21">
        <f>20*COUNTIF(YY统计!A$2:M$150,$A23)</f>
        <v>0</v>
      </c>
      <c r="E23" s="21">
        <f>SUM(B23:D23)</f>
        <v>155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39</v>
      </c>
    </row>
    <row r="24" spans="1:7" ht="16.5">
      <c r="A24" s="10" t="s">
        <v>421</v>
      </c>
      <c r="B24" s="4">
        <f>VLOOKUP(A24,联盟DKP榜单!A$1:C$598,3,FALSE)-40*COUNTIF(扣分!A:A,A24)+IF(ISNA(VLOOKUP(A24,结余!A$1:B$600,2,0)),0,VLOOKUP(A24,结余!A$1:B$600,2,0))</f>
        <v>84</v>
      </c>
      <c r="C24" s="21">
        <f>50*COUNTIF(帮战总榜!A$1:AB$150,$A24)+40*COUNTIF(掠夺!A$1:AB$150,$A24)</f>
        <v>50</v>
      </c>
      <c r="D24" s="21">
        <f>20*COUNTIF(YY统计!A$2:M$150,$A24)</f>
        <v>0</v>
      </c>
      <c r="E24" s="21">
        <f>SUM(B24:D24)</f>
        <v>134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18</v>
      </c>
    </row>
    <row r="25" spans="1:7" ht="16.5">
      <c r="A25" s="10" t="s">
        <v>457</v>
      </c>
      <c r="B25" s="4">
        <f>VLOOKUP(A25,联盟DKP榜单!A$1:C$598,3,FALSE)-40*COUNTIF(扣分!A:A,A25)+IF(ISNA(VLOOKUP(A25,结余!A$1:B$600,2,0)),0,VLOOKUP(A25,结余!A$1:B$600,2,0))</f>
        <v>86</v>
      </c>
      <c r="C25" s="21">
        <f>50*COUNTIF(帮战总榜!A$1:AB$150,$A25)+40*COUNTIF(掠夺!A$1:AB$150,$A25)</f>
        <v>50</v>
      </c>
      <c r="D25" s="21">
        <f>20*COUNTIF(YY统计!A$2:M$150,$A25)</f>
        <v>0</v>
      </c>
      <c r="E25" s="21">
        <f>SUM(B25:D25)</f>
        <v>136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20</v>
      </c>
    </row>
    <row r="26" spans="1:7" ht="16.5">
      <c r="A26" s="10" t="s">
        <v>32</v>
      </c>
      <c r="B26" s="4">
        <f>VLOOKUP(A26,联盟DKP榜单!A$1:C$598,3,FALSE)-40*COUNTIF(扣分!A:A,A26)+IF(ISNA(VLOOKUP(A26,结余!A$1:B$600,2,0)),0,VLOOKUP(A26,结余!A$1:B$600,2,0))</f>
        <v>49</v>
      </c>
      <c r="C26" s="21">
        <f>50*COUNTIF(帮战总榜!A$1:AB$150,$A26)+40*COUNTIF(掠夺!A$1:AB$150,$A26)</f>
        <v>80</v>
      </c>
      <c r="D26" s="21">
        <f>20*COUNTIF(YY统计!A$2:M$150,$A26)</f>
        <v>0</v>
      </c>
      <c r="E26" s="21">
        <f>SUM(B26:D26)</f>
        <v>129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13</v>
      </c>
    </row>
    <row r="27" spans="1:7" ht="16.5">
      <c r="A27" s="10" t="s">
        <v>45</v>
      </c>
      <c r="B27" s="4">
        <f>VLOOKUP(A27,联盟DKP榜单!A$1:C$598,3,FALSE)-40*COUNTIF(扣分!A:A,A27)+IF(ISNA(VLOOKUP(A27,结余!A$1:B$600,2,0)),0,VLOOKUP(A27,结余!A$1:B$600,2,0))</f>
        <v>40</v>
      </c>
      <c r="C27" s="21">
        <f>50*COUNTIF(帮战总榜!A$1:AB$150,$A27)+40*COUNTIF(掠夺!A$1:AB$150,$A27)</f>
        <v>120</v>
      </c>
      <c r="D27" s="21">
        <f>20*COUNTIF(YY统计!A$2:M$150,$A27)</f>
        <v>0</v>
      </c>
      <c r="E27" s="21">
        <f>SUM(B27:D27)</f>
        <v>160</v>
      </c>
      <c r="F27" s="21">
        <f>IF(AND(E27&gt;0,E27&lt;66),0.01,ROUNDDOWN((E27-16)/50,0))</f>
        <v>2</v>
      </c>
      <c r="G27" s="9">
        <f>IF(AND(F27&gt;=1,F27&lt;=6),E27-F27*50-16,IF(F27=0.01,E27-16,IF(F27=0,0,IF(F27&gt;6,E27-316,0))))</f>
        <v>44</v>
      </c>
    </row>
    <row r="28" spans="1:7" ht="16.5">
      <c r="A28" s="10" t="s">
        <v>485</v>
      </c>
      <c r="B28" s="4">
        <f>VLOOKUP(A28,联盟DKP榜单!A$1:C$598,3,FALSE)-40*COUNTIF(扣分!A:A,A28)+IF(ISNA(VLOOKUP(A28,结余!A$1:B$600,2,0)),0,VLOOKUP(A28,结余!A$1:B$600,2,0))</f>
        <v>36</v>
      </c>
      <c r="C28" s="21">
        <f>50*COUNTIF(帮战总榜!A$1:AB$150,$A28)+40*COUNTIF(掠夺!A$1:AB$150,$A28)</f>
        <v>80</v>
      </c>
      <c r="D28" s="21">
        <f>20*COUNTIF(YY统计!A$2:M$150,$A28)</f>
        <v>20</v>
      </c>
      <c r="E28" s="21">
        <f>SUM(B28:D28)</f>
        <v>136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20</v>
      </c>
    </row>
    <row r="29" spans="1:7" ht="16.5">
      <c r="A29" s="10" t="s">
        <v>518</v>
      </c>
      <c r="B29" s="4">
        <f>VLOOKUP(A29,联盟DKP榜单!A$1:C$598,3,FALSE)-40*COUNTIF(扣分!A:A,A29)+IF(ISNA(VLOOKUP(A29,结余!A$1:B$600,2,0)),0,VLOOKUP(A29,结余!A$1:B$600,2,0))</f>
        <v>68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>SUM(B29:D29)</f>
        <v>108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42</v>
      </c>
    </row>
    <row r="30" spans="1:7" ht="16.5">
      <c r="A30" s="10" t="s">
        <v>487</v>
      </c>
      <c r="B30" s="4">
        <f>VLOOKUP(A30,联盟DKP榜单!A$1:C$598,3,FALSE)-40*COUNTIF(扣分!A:A,A30)+IF(ISNA(VLOOKUP(A30,结余!A$1:B$600,2,0)),0,VLOOKUP(A30,结余!A$1:B$600,2,0))</f>
        <v>56</v>
      </c>
      <c r="C30" s="21">
        <f>50*COUNTIF(帮战总榜!A$1:AB$150,$A30)+40*COUNTIF(掠夺!A$1:AB$150,$A30)</f>
        <v>40</v>
      </c>
      <c r="D30" s="21">
        <f>20*COUNTIF(YY统计!A$2:M$150,$A30)</f>
        <v>0</v>
      </c>
      <c r="E30" s="21">
        <f>SUM(B30:D30)</f>
        <v>96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30</v>
      </c>
    </row>
    <row r="31" spans="1:7" ht="16.5">
      <c r="A31" s="10" t="s">
        <v>92</v>
      </c>
      <c r="B31" s="4">
        <f>VLOOKUP(A31,联盟DKP榜单!A$1:C$598,3,FALSE)-40*COUNTIF(扣分!A:A,A31)+IF(ISNA(VLOOKUP(A31,结余!A$1:B$600,2,0)),0,VLOOKUP(A31,结余!A$1:B$600,2,0))</f>
        <v>59</v>
      </c>
      <c r="C31" s="21">
        <f>50*COUNTIF(帮战总榜!A$1:AB$150,$A31)+40*COUNTIF(掠夺!A$1:AB$150,$A31)</f>
        <v>50</v>
      </c>
      <c r="D31" s="21">
        <f>20*COUNTIF(YY统计!A$2:M$150,$A31)</f>
        <v>0</v>
      </c>
      <c r="E31" s="21">
        <f>SUM(B31:D31)</f>
        <v>109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43</v>
      </c>
    </row>
    <row r="32" spans="1:7" ht="16.5">
      <c r="A32" s="10" t="s">
        <v>468</v>
      </c>
      <c r="B32" s="4">
        <f>VLOOKUP(A32,联盟DKP榜单!A$1:C$598,3,FALSE)-40*COUNTIF(扣分!A:A,A32)+IF(ISNA(VLOOKUP(A32,结余!A$1:B$600,2,0)),0,VLOOKUP(A32,结余!A$1:B$600,2,0))</f>
        <v>42</v>
      </c>
      <c r="C32" s="21">
        <f>50*COUNTIF(帮战总榜!A$1:AB$150,$A32)+40*COUNTIF(掠夺!A$1:AB$150,$A32)</f>
        <v>40</v>
      </c>
      <c r="D32" s="21">
        <f>20*COUNTIF(YY统计!A$2:M$150,$A32)</f>
        <v>0</v>
      </c>
      <c r="E32" s="21">
        <f>SUM(B32:D32)</f>
        <v>82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16</v>
      </c>
    </row>
    <row r="33" spans="1:7" ht="16.5">
      <c r="A33" s="10" t="s">
        <v>37</v>
      </c>
      <c r="B33" s="4">
        <f>VLOOKUP(A33,联盟DKP榜单!A$1:C$598,3,FALSE)-40*COUNTIF(扣分!A:A,A33)+IF(ISNA(VLOOKUP(A33,结余!A$1:B$600,2,0)),0,VLOOKUP(A33,结余!A$1:B$600,2,0))</f>
        <v>23</v>
      </c>
      <c r="C33" s="21">
        <f>50*COUNTIF(帮战总榜!A$1:AB$150,$A33)+40*COUNTIF(掠夺!A$1:AB$150,$A33)</f>
        <v>80</v>
      </c>
      <c r="D33" s="21">
        <f>20*COUNTIF(YY统计!A$2:M$150,$A33)</f>
        <v>20</v>
      </c>
      <c r="E33" s="21">
        <f>SUM(B33:D33)</f>
        <v>123</v>
      </c>
      <c r="F33" s="21">
        <f>IF(AND(E33&gt;0,E33&lt;66),0.01,ROUNDDOWN((E33-16)/50,0))</f>
        <v>2</v>
      </c>
      <c r="G33" s="9">
        <f>IF(AND(F33&gt;=1,F33&lt;=6),E33-F33*50-16,IF(F33=0.01,E33-16,IF(F33=0,0,IF(F33&gt;6,E33-316,0))))</f>
        <v>7</v>
      </c>
    </row>
    <row r="34" spans="1:7" ht="16.5">
      <c r="A34" s="10" t="s">
        <v>573</v>
      </c>
      <c r="B34" s="4">
        <f>VLOOKUP(A34,联盟DKP榜单!A$1:C$598,3,FALSE)-40*COUNTIF(扣分!A:A,A34)+IF(ISNA(VLOOKUP(A34,结余!A$1:B$600,2,0)),0,VLOOKUP(A34,结余!A$1:B$600,2,0))</f>
        <v>37</v>
      </c>
      <c r="C34" s="21">
        <f>50*COUNTIF(帮战总榜!A$1:AB$150,$A34)+40*COUNTIF(掠夺!A$1:AB$150,$A34)</f>
        <v>40</v>
      </c>
      <c r="D34" s="21">
        <f>20*COUNTIF(YY统计!A$2:M$150,$A34)</f>
        <v>0</v>
      </c>
      <c r="E34" s="21">
        <f>SUM(B34:D34)</f>
        <v>77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11</v>
      </c>
    </row>
    <row r="35" spans="1:7" ht="16.5">
      <c r="A35" s="10" t="s">
        <v>522</v>
      </c>
      <c r="B35" s="4">
        <f>VLOOKUP(A35,联盟DKP榜单!A$1:C$598,3,FALSE)-40*COUNTIF(扣分!A:A,A35)+IF(ISNA(VLOOKUP(A35,结余!A$1:B$600,2,0)),0,VLOOKUP(A35,结余!A$1:B$600,2,0))</f>
        <v>35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35</v>
      </c>
      <c r="F35" s="21">
        <f>IF(AND(E35&gt;0,E35&lt;66),0.01,ROUNDDOWN((E35-16)/50,0))</f>
        <v>0.01</v>
      </c>
      <c r="G35" s="9">
        <f>IF(AND(F35&gt;=1,F35&lt;=6),E35-F35*50-16,IF(F35=0.01,E35-16,IF(F35=0,0,IF(F35&gt;6,E35-316,0))))</f>
        <v>19</v>
      </c>
    </row>
    <row r="36" spans="1:7" ht="16.5">
      <c r="A36" s="10" t="s">
        <v>294</v>
      </c>
      <c r="B36" s="4">
        <f>VLOOKUP(A36,联盟DKP榜单!A$1:C$598,3,FALSE)-40*COUNTIF(扣分!A:A,A36)+IF(ISNA(VLOOKUP(A36,结余!A$1:B$600,2,0)),0,VLOOKUP(A36,结余!A$1:B$600,2,0))</f>
        <v>27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27</v>
      </c>
      <c r="F36" s="21">
        <f>IF(AND(E36&gt;0,E36&lt;66),0.01,ROUNDDOWN((E36-16)/50,0))</f>
        <v>0.01</v>
      </c>
      <c r="G36" s="9">
        <f>IF(AND(F36&gt;=1,F36&lt;=6),E36-F36*50-16,IF(F36=0.01,E36-16,IF(F36=0,0,IF(F36&gt;6,E36-316,0))))</f>
        <v>11</v>
      </c>
    </row>
    <row r="37" spans="1:7" ht="16.5">
      <c r="A37" s="10" t="s">
        <v>439</v>
      </c>
      <c r="B37" s="4">
        <f>VLOOKUP(A37,联盟DKP榜单!A$1:C$598,3,FALSE)-40*COUNTIF(扣分!A:A,A37)+IF(ISNA(VLOOKUP(A37,结余!A$1:B$600,2,0)),0,VLOOKUP(A37,结余!A$1:B$600,2,0))</f>
        <v>1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1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-15</v>
      </c>
    </row>
    <row r="38" spans="1:7" ht="16.5">
      <c r="A38" s="10" t="s">
        <v>460</v>
      </c>
      <c r="B38" s="4">
        <f>VLOOKUP(A38,联盟DKP榜单!A$1:C$598,3,FALSE)-40*COUNTIF(扣分!A:A,A38)+IF(ISNA(VLOOKUP(A38,结余!A$1:B$600,2,0)),0,VLOOKUP(A38,结余!A$1:B$600,2,0))</f>
        <v>21</v>
      </c>
      <c r="C38" s="21">
        <f>50*COUNTIF(帮战总榜!A$1:AB$150,$A38)+40*COUNTIF(掠夺!A$1:AB$150,$A38)</f>
        <v>40</v>
      </c>
      <c r="D38" s="21">
        <f>20*COUNTIF(YY统计!A$2:M$150,$A38)</f>
        <v>0</v>
      </c>
      <c r="E38" s="21">
        <f>SUM(B38:D38)</f>
        <v>61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45</v>
      </c>
    </row>
    <row r="39" spans="1:7" ht="16.5">
      <c r="A39" s="10" t="s">
        <v>435</v>
      </c>
      <c r="B39" s="4">
        <f>VLOOKUP(A39,联盟DKP榜单!A$1:C$598,3,FALSE)-40*COUNTIF(扣分!A:A,A39)+IF(ISNA(VLOOKUP(A39,结余!A$1:B$600,2,0)),0,VLOOKUP(A39,结余!A$1:B$600,2,0))</f>
        <v>12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12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-4</v>
      </c>
    </row>
    <row r="40" spans="1:7" ht="16.5">
      <c r="A40" s="10" t="s">
        <v>472</v>
      </c>
      <c r="B40" s="4">
        <f>VLOOKUP(A40,联盟DKP榜单!A$1:C$598,3,FALSE)-40*COUNTIF(扣分!A:A,A40)+IF(ISNA(VLOOKUP(A40,结余!A$1:B$600,2,0)),0,VLOOKUP(A40,结余!A$1:B$600,2,0))</f>
        <v>38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38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22</v>
      </c>
    </row>
    <row r="41" spans="1:7" ht="16.5">
      <c r="A41" s="10" t="s">
        <v>46</v>
      </c>
      <c r="B41" s="4">
        <f>VLOOKUP(A41,联盟DKP榜单!A$1:C$598,3,FALSE)-40*COUNTIF(扣分!A:A,A41)+IF(ISNA(VLOOKUP(A41,结余!A$1:B$600,2,0)),0,VLOOKUP(A41,结余!A$1:B$600,2,0))</f>
        <v>42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42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26</v>
      </c>
    </row>
    <row r="42" spans="1:7" ht="16.5">
      <c r="A42" s="10" t="s">
        <v>30</v>
      </c>
      <c r="B42" s="4">
        <f>VLOOKUP(A42,联盟DKP榜单!A$1:C$598,3,FALSE)-40*COUNTIF(扣分!A:A,A42)+IF(ISNA(VLOOKUP(A42,结余!A$1:B$600,2,0)),0,VLOOKUP(A42,结余!A$1:B$600,2,0))</f>
        <v>1</v>
      </c>
      <c r="C42" s="21">
        <f>50*COUNTIF(帮战总榜!A$1:AB$150,$A42)+40*COUNTIF(掠夺!A$1:AB$150,$A42)</f>
        <v>40</v>
      </c>
      <c r="D42" s="21">
        <f>20*COUNTIF(YY统计!A$2:M$150,$A42)</f>
        <v>0</v>
      </c>
      <c r="E42" s="21">
        <f>SUM(B42:D42)</f>
        <v>41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25</v>
      </c>
    </row>
    <row r="43" spans="1:7" ht="16.5">
      <c r="A43" s="10" t="s">
        <v>99</v>
      </c>
      <c r="B43" s="4">
        <f>VLOOKUP(A43,联盟DKP榜单!A$1:C$598,3,FALSE)-40*COUNTIF(扣分!A:A,A43)+IF(ISNA(VLOOKUP(A43,结余!A$1:B$600,2,0)),0,VLOOKUP(A43,结余!A$1:B$600,2,0))</f>
        <v>17</v>
      </c>
      <c r="C43" s="21">
        <f>50*COUNTIF(帮战总榜!A$1:AB$150,$A43)+40*COUNTIF(掠夺!A$1:AB$150,$A43)</f>
        <v>40</v>
      </c>
      <c r="D43" s="21">
        <f>20*COUNTIF(YY统计!A$2:M$150,$A43)</f>
        <v>20</v>
      </c>
      <c r="E43" s="21">
        <f>SUM(B43:D43)</f>
        <v>77</v>
      </c>
      <c r="F43" s="21">
        <f>IF(AND(E43&gt;0,E43&lt;66),0.01,ROUNDDOWN((E43-16)/50,0))</f>
        <v>1</v>
      </c>
      <c r="G43" s="9">
        <f>IF(AND(F43&gt;=1,F43&lt;=6),E43-F43*50-16,IF(F43=0.01,E43-16,IF(F43=0,0,IF(F43&gt;6,E43-316,0))))</f>
        <v>11</v>
      </c>
    </row>
    <row r="44" spans="1:7" ht="16.5">
      <c r="A44" s="10" t="s">
        <v>91</v>
      </c>
      <c r="B44" s="4">
        <f>VLOOKUP(A44,联盟DKP榜单!A$1:C$598,3,FALSE)-40*COUNTIF(扣分!A:A,A44)+IF(ISNA(VLOOKUP(A44,结余!A$1:B$600,2,0)),0,VLOOKUP(A44,结余!A$1:B$600,2,0))</f>
        <v>38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38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22</v>
      </c>
    </row>
    <row r="45" spans="1:7" ht="16.5">
      <c r="A45" s="10" t="s">
        <v>420</v>
      </c>
      <c r="B45" s="4">
        <f>VLOOKUP(A45,联盟DKP榜单!A$1:C$598,3,FALSE)-40*COUNTIF(扣分!A:A,A45)+IF(ISNA(VLOOKUP(A45,结余!A$1:B$600,2,0)),0,VLOOKUP(A45,结余!A$1:B$600,2,0))</f>
        <v>23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23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7</v>
      </c>
    </row>
    <row r="46" spans="1:7" ht="16.5">
      <c r="A46" s="10" t="s">
        <v>68</v>
      </c>
      <c r="B46" s="4">
        <f>VLOOKUP(A46,联盟DKP榜单!A$1:C$598,3,FALSE)-40*COUNTIF(扣分!A:A,A46)+IF(ISNA(VLOOKUP(A46,结余!A$1:B$600,2,0)),0,VLOOKUP(A46,结余!A$1:B$600,2,0))</f>
        <v>19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19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3</v>
      </c>
    </row>
    <row r="47" spans="1:7" ht="16.5">
      <c r="A47" s="10" t="s">
        <v>494</v>
      </c>
      <c r="B47" s="4">
        <f>VLOOKUP(A47,联盟DKP榜单!A$1:C$598,3,FALSE)-40*COUNTIF(扣分!A:A,A47)+IF(ISNA(VLOOKUP(A47,结余!A$1:B$600,2,0)),0,VLOOKUP(A47,结余!A$1:B$600,2,0))</f>
        <v>6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6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-10</v>
      </c>
    </row>
    <row r="48" spans="1:7" ht="16.5">
      <c r="A48" s="10" t="s">
        <v>588</v>
      </c>
      <c r="B48" s="4">
        <f>VLOOKUP(A48,联盟DKP榜单!A$1:C$598,3,FALSE)-40*COUNTIF(扣分!A:A,A48)+IF(ISNA(VLOOKUP(A48,结余!A$1:B$600,2,0)),0,VLOOKUP(A48,结余!A$1:B$600,2,0))</f>
        <v>23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23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7</v>
      </c>
    </row>
    <row r="49" spans="1:7" ht="16.5">
      <c r="A49" s="10" t="s">
        <v>44</v>
      </c>
      <c r="B49" s="4">
        <f>VLOOKUP(A49,联盟DKP榜单!A$1:C$598,3,FALSE)-40*COUNTIF(扣分!A:A,A49)+IF(ISNA(VLOOKUP(A49,结余!A$1:B$600,2,0)),0,VLOOKUP(A49,结余!A$1:B$600,2,0))</f>
        <v>4</v>
      </c>
      <c r="C49" s="21">
        <f>50*COUNTIF(帮战总榜!A$1:AB$150,$A49)+40*COUNTIF(掠夺!A$1:AB$150,$A49)</f>
        <v>40</v>
      </c>
      <c r="D49" s="21">
        <f>20*COUNTIF(YY统计!A$2:M$150,$A49)</f>
        <v>0</v>
      </c>
      <c r="E49" s="21">
        <f>SUM(B49:D49)</f>
        <v>44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28</v>
      </c>
    </row>
    <row r="50" spans="1:7" ht="16.5">
      <c r="A50" s="10" t="s">
        <v>341</v>
      </c>
      <c r="B50" s="4">
        <f>VLOOKUP(A50,联盟DKP榜单!A$1:C$598,3,FALSE)-40*COUNTIF(扣分!A:A,A50)+IF(ISNA(VLOOKUP(A50,结余!A$1:B$600,2,0)),0,VLOOKUP(A50,结余!A$1:B$600,2,0))</f>
        <v>28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28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12</v>
      </c>
    </row>
    <row r="51" spans="1:7" ht="16.5">
      <c r="A51" s="10" t="s">
        <v>82</v>
      </c>
      <c r="B51" s="4">
        <f>VLOOKUP(A51,联盟DKP榜单!A$1:C$598,3,FALSE)-40*COUNTIF(扣分!A:A,A51)+IF(ISNA(VLOOKUP(A51,结余!A$1:B$600,2,0)),0,VLOOKUP(A51,结余!A$1:B$600,2,0))</f>
        <v>0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0</v>
      </c>
      <c r="F51" s="21">
        <f>IF(AND(E51&gt;0,E51&lt;66),0.01,ROUNDDOWN((E51-16)/50,0))</f>
        <v>0</v>
      </c>
      <c r="G51" s="9">
        <f>IF(AND(F51&gt;=1,F51&lt;=6),E51-F51*50-16,IF(F51=0.01,E51-16,IF(F51=0,0,IF(F51&gt;6,E51-316,0))))</f>
        <v>0</v>
      </c>
    </row>
    <row r="52" spans="1:7" ht="16.5">
      <c r="A52" s="10" t="s">
        <v>569</v>
      </c>
      <c r="B52" s="4">
        <f>VLOOKUP(A52,联盟DKP榜单!A$1:C$598,3,FALSE)-40*COUNTIF(扣分!A:A,A52)+IF(ISNA(VLOOKUP(A52,结余!A$1:B$600,2,0)),0,VLOOKUP(A52,结余!A$1:B$600,2,0))</f>
        <v>0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0</v>
      </c>
      <c r="F52" s="21">
        <f>IF(AND(E52&gt;0,E52&lt;66),0.01,ROUNDDOWN((E52-16)/50,0))</f>
        <v>0</v>
      </c>
      <c r="G52" s="9">
        <f>IF(AND(F52&gt;=1,F52&lt;=6),E52-F52*50-16,IF(F52=0.01,E52-16,IF(F52=0,0,IF(F52&gt;6,E52-316,0))))</f>
        <v>0</v>
      </c>
    </row>
    <row r="53" spans="1:7" ht="16.5">
      <c r="A53" s="10" t="s">
        <v>83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0</v>
      </c>
      <c r="F53" s="21">
        <f>IF(AND(E53&gt;0,E53&lt;66),0.01,ROUNDDOWN((E53-16)/50,0))</f>
        <v>0</v>
      </c>
      <c r="G53" s="9">
        <f>IF(AND(F53&gt;=1,F53&lt;=6),E53-F53*50-16,IF(F53=0.01,E53-16,IF(F53=0,0,IF(F53&gt;6,E53-316,0))))</f>
        <v>0</v>
      </c>
    </row>
    <row r="54" spans="1:7" ht="16.5">
      <c r="A54" s="10" t="s">
        <v>84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0</v>
      </c>
      <c r="F54" s="21">
        <f>IF(AND(E54&gt;0,E54&lt;66),0.01,ROUNDDOWN((E54-16)/50,0))</f>
        <v>0</v>
      </c>
      <c r="G54" s="9">
        <f>IF(AND(F54&gt;=1,F54&lt;=6),E54-F54*50-16,IF(F54=0.01,E54-16,IF(F54=0,0,IF(F54&gt;6,E54-316,0))))</f>
        <v>0</v>
      </c>
    </row>
    <row r="55" spans="1:7" ht="16.5">
      <c r="A55" s="10" t="s">
        <v>476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571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0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107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108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109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110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572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447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111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471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112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113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500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114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574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97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98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29</v>
      </c>
      <c r="B72" s="4">
        <f>VLOOKUP(A72,联盟DKP榜单!A$1:C$598,3,FALSE)-40*COUNTIF(扣分!A:A,A72)+IF(ISNA(VLOOKUP(A72,结余!A$1:B$600,2,0)),0,VLOOKUP(A72,结余!A$1:B$600,2,0))</f>
        <v>-10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-10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100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101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102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575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469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85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350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86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87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88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89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481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90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577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467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93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94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95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578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96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78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79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80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81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579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580</v>
      </c>
      <c r="B98" s="4">
        <f>VLOOKUP(A98,联盟DKP榜单!A$1:C$598,3,FALSE)-40*COUNTIF(扣分!A:A,A98)+IF(ISNA(VLOOKUP(A98,结余!A$1:B$600,2,0)),0,VLOOKUP(A98,结余!A$1:B$600,2,0))</f>
        <v>-2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-2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72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581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582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422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39</v>
      </c>
      <c r="B103" s="4">
        <f>VLOOKUP(A103,联盟DKP榜单!A$1:C$598,3,FALSE)-40*COUNTIF(扣分!A:A,A103)+IF(ISNA(VLOOKUP(A103,结余!A$1:B$600,2,0)),0,VLOOKUP(A103,结余!A$1:B$600,2,0))</f>
        <v>-3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-3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583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75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76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61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62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584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63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64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423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65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351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66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48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67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399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642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585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69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586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70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400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587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495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104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105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424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589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57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453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441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59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455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236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456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60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50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51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391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47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448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53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54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55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56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590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0" t="s">
        <v>71</v>
      </c>
      <c r="B149" s="4">
        <f>VLOOKUP(A149,联盟DKP榜单!A$1:C$598,3,FALSE)-40*COUNTIF(扣分!A:A,A149)+IF(ISNA(VLOOKUP(A149,结余!A$1:B$600,2,0)),0,VLOOKUP(A149,结余!A$1:B$600,2,0))</f>
        <v>0</v>
      </c>
      <c r="C149" s="21">
        <f>50*COUNTIF(帮战总榜!A$1:AB$150,$A149)+40*COUNTIF(掠夺!A$1:AB$150,$A149)</f>
        <v>0</v>
      </c>
      <c r="D149" s="21">
        <f>20*COUNTIF(YY统计!A$2:M$150,$A149)</f>
        <v>0</v>
      </c>
      <c r="E149" s="21">
        <f>SUM(B149:D149)</f>
        <v>0</v>
      </c>
      <c r="F149" s="21">
        <f>IF(AND(E149&gt;0,E149&lt;66),0.01,ROUNDDOWN((E149-16)/50,0))</f>
        <v>0</v>
      </c>
      <c r="G149" s="9">
        <f>IF(AND(F149&gt;=1,F149&lt;=6),E149-F149*50-16,IF(F149=0.01,E149-16,IF(F149=0,0,IF(F149&gt;6,E149-316,0))))</f>
        <v>0</v>
      </c>
    </row>
  </sheetData>
  <sortState ref="A2:G150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selection activeCell="I6" sqref="I6"/>
    </sheetView>
  </sheetViews>
  <sheetFormatPr defaultRowHeight="15"/>
  <cols>
    <col min="1" max="1" width="16.57031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bestFit="1" customWidth="1"/>
    <col min="7" max="7" width="5.28515625" style="9" bestFit="1" customWidth="1"/>
    <col min="8" max="9" width="9.5703125" customWidth="1"/>
    <col min="10" max="10" width="9.5703125" bestFit="1" customWidth="1"/>
    <col min="11" max="11" width="9.5703125" customWidth="1"/>
  </cols>
  <sheetData>
    <row r="1" spans="1:11" ht="15.75">
      <c r="A1" s="15" t="s">
        <v>5</v>
      </c>
      <c r="B1" s="16" t="s">
        <v>18</v>
      </c>
      <c r="C1" s="16" t="s">
        <v>9</v>
      </c>
      <c r="D1" s="16" t="s">
        <v>19</v>
      </c>
      <c r="E1" s="16" t="s">
        <v>6</v>
      </c>
      <c r="F1" s="16" t="s">
        <v>505</v>
      </c>
      <c r="G1" s="16" t="s">
        <v>477</v>
      </c>
      <c r="J1" s="19"/>
      <c r="K1" s="19"/>
    </row>
    <row r="2" spans="1:11" ht="16.5">
      <c r="A2" s="10" t="s">
        <v>407</v>
      </c>
      <c r="B2" s="4">
        <f>VLOOKUP(A2,联盟DKP榜单!A$1:C$598,3,FALSE)-40*COUNTIF(扣分!A:A,A2)+IF(ISNA(VLOOKUP(A2,结余!A$1:B$600,2,0)),0,VLOOKUP(A2,结余!A$1:B$600,2,0))</f>
        <v>200</v>
      </c>
      <c r="C2" s="21">
        <f>50*COUNTIF(帮战总榜!A$1:AB$150,$A2)+40*COUNTIF(掠夺!A$1:AB$150,$A2)</f>
        <v>230</v>
      </c>
      <c r="D2" s="21">
        <f>20*COUNTIF(YY统计!A$2:M$150,$A2)</f>
        <v>20</v>
      </c>
      <c r="E2" s="21">
        <f>SUM(B2:D2)</f>
        <v>450</v>
      </c>
      <c r="F2" s="21">
        <f>IF(AND(E2&gt;0,E2&lt;66),0.01,ROUNDDOWN((E2-16)/50,0))</f>
        <v>8</v>
      </c>
      <c r="G2" s="9">
        <f>IF(AND(F2&gt;=1,F2&lt;=6),E2-F2*50-16,IF(F2=0.01,E2-16,IF(F2=0,0,IF(F2&gt;6,E2-316,0))))</f>
        <v>134</v>
      </c>
      <c r="J2" s="3"/>
      <c r="K2" s="3"/>
    </row>
    <row r="3" spans="1:11" ht="16.5">
      <c r="A3" s="10" t="s">
        <v>258</v>
      </c>
      <c r="B3" s="4">
        <f>VLOOKUP(A3,联盟DKP榜单!A$1:C$598,3,FALSE)-40*COUNTIF(扣分!A:A,A3)+IF(ISNA(VLOOKUP(A3,结余!A$1:B$600,2,0)),0,VLOOKUP(A3,结余!A$1:B$600,2,0))</f>
        <v>155</v>
      </c>
      <c r="C3" s="21">
        <f>50*COUNTIF(帮战总榜!A$1:AB$150,$A3)+40*COUNTIF(掠夺!A$1:AB$150,$A3)</f>
        <v>230</v>
      </c>
      <c r="D3" s="21">
        <f>20*COUNTIF(YY统计!A$2:M$150,$A3)</f>
        <v>20</v>
      </c>
      <c r="E3" s="21">
        <f>SUM(B3:D3)</f>
        <v>405</v>
      </c>
      <c r="F3" s="21">
        <f>IF(AND(E3&gt;0,E3&lt;66),0.01,ROUNDDOWN((E3-16)/50,0))</f>
        <v>7</v>
      </c>
      <c r="G3" s="9">
        <f>IF(AND(F3&gt;=1,F3&lt;=6),E3-F3*50-16,IF(F3=0.01,E3-16,IF(F3=0,0,IF(F3&gt;6,E3-316,0))))</f>
        <v>89</v>
      </c>
    </row>
    <row r="4" spans="1:11" ht="16.5">
      <c r="A4" s="10" t="s">
        <v>218</v>
      </c>
      <c r="B4" s="4">
        <f>VLOOKUP(A4,联盟DKP榜单!A$1:C$598,3,FALSE)-40*COUNTIF(扣分!A:A,A4)+IF(ISNA(VLOOKUP(A4,结余!A$1:B$600,2,0)),0,VLOOKUP(A4,结余!A$1:B$600,2,0))</f>
        <v>183</v>
      </c>
      <c r="C4" s="21">
        <f>50*COUNTIF(帮战总榜!A$1:AB$150,$A4)+40*COUNTIF(掠夺!A$1:AB$150,$A4)</f>
        <v>230</v>
      </c>
      <c r="D4" s="21">
        <f>20*COUNTIF(YY统计!A$2:M$150,$A4)</f>
        <v>40</v>
      </c>
      <c r="E4" s="21">
        <f>SUM(B4:D4)</f>
        <v>453</v>
      </c>
      <c r="F4" s="21">
        <f>IF(AND(E4&gt;0,E4&lt;66),0.01,ROUNDDOWN((E4-16)/50,0))</f>
        <v>8</v>
      </c>
      <c r="G4" s="9">
        <f>IF(AND(F4&gt;=1,F4&lt;=6),E4-F4*50-16,IF(F4=0.01,E4-16,IF(F4=0,0,IF(F4&gt;6,E4-316,0))))</f>
        <v>137</v>
      </c>
    </row>
    <row r="5" spans="1:11" ht="16.5">
      <c r="A5" s="10" t="s">
        <v>411</v>
      </c>
      <c r="B5" s="4">
        <f>VLOOKUP(A5,联盟DKP榜单!A$1:C$598,3,FALSE)-40*COUNTIF(扣分!A:A,A5)+IF(ISNA(VLOOKUP(A5,结余!A$1:B$600,2,0)),0,VLOOKUP(A5,结余!A$1:B$600,2,0))</f>
        <v>182</v>
      </c>
      <c r="C5" s="21">
        <f>50*COUNTIF(帮战总榜!A$1:AB$150,$A5)+40*COUNTIF(掠夺!A$1:AB$150,$A5)</f>
        <v>230</v>
      </c>
      <c r="D5" s="21">
        <f>20*COUNTIF(YY统计!A$2:M$150,$A5)</f>
        <v>20</v>
      </c>
      <c r="E5" s="21">
        <f>SUM(B5:D5)</f>
        <v>432</v>
      </c>
      <c r="F5" s="21">
        <f>IF(AND(E5&gt;0,E5&lt;66),0.01,ROUNDDOWN((E5-16)/50,0))</f>
        <v>8</v>
      </c>
      <c r="G5" s="9">
        <f>IF(AND(F5&gt;=1,F5&lt;=6),E5-F5*50-16,IF(F5=0.01,E5-16,IF(F5=0,0,IF(F5&gt;6,E5-316,0))))</f>
        <v>116</v>
      </c>
    </row>
    <row r="6" spans="1:11" ht="16.5">
      <c r="A6" s="10" t="s">
        <v>219</v>
      </c>
      <c r="B6" s="4">
        <f>VLOOKUP(A6,联盟DKP榜单!A$1:C$598,3,FALSE)-40*COUNTIF(扣分!A:A,A6)+IF(ISNA(VLOOKUP(A6,结余!A$1:B$600,2,0)),0,VLOOKUP(A6,结余!A$1:B$600,2,0))</f>
        <v>161</v>
      </c>
      <c r="C6" s="21">
        <f>50*COUNTIF(帮战总榜!A$1:AB$150,$A6)+40*COUNTIF(掠夺!A$1:AB$150,$A6)</f>
        <v>190</v>
      </c>
      <c r="D6" s="21">
        <f>20*COUNTIF(YY统计!A$2:M$150,$A6)</f>
        <v>20</v>
      </c>
      <c r="E6" s="21">
        <f>SUM(B6:D6)</f>
        <v>371</v>
      </c>
      <c r="F6" s="21">
        <f>IF(AND(E6&gt;0,E6&lt;66),0.01,ROUNDDOWN((E6-16)/50,0))</f>
        <v>7</v>
      </c>
      <c r="G6" s="9">
        <f>IF(AND(F6&gt;=1,F6&lt;=6),E6-F6*50-16,IF(F6=0.01,E6-16,IF(F6=0,0,IF(F6&gt;6,E6-316,0))))</f>
        <v>55</v>
      </c>
    </row>
    <row r="7" spans="1:11" ht="16.5">
      <c r="A7" s="10" t="s">
        <v>409</v>
      </c>
      <c r="B7" s="4">
        <f>VLOOKUP(A7,联盟DKP榜单!A$1:C$598,3,FALSE)-40*COUNTIF(扣分!A:A,A7)+IF(ISNA(VLOOKUP(A7,结余!A$1:B$600,2,0)),0,VLOOKUP(A7,结余!A$1:B$600,2,0))</f>
        <v>154</v>
      </c>
      <c r="C7" s="21">
        <f>50*COUNTIF(帮战总榜!A$1:AB$150,$A7)+40*COUNTIF(掠夺!A$1:AB$150,$A7)</f>
        <v>180</v>
      </c>
      <c r="D7" s="21">
        <f>20*COUNTIF(YY统计!A$2:M$150,$A7)</f>
        <v>40</v>
      </c>
      <c r="E7" s="21">
        <f>SUM(B7:D7)</f>
        <v>374</v>
      </c>
      <c r="F7" s="21">
        <f>IF(AND(E7&gt;0,E7&lt;66),0.01,ROUNDDOWN((E7-16)/50,0))</f>
        <v>7</v>
      </c>
      <c r="G7" s="9">
        <f>IF(AND(F7&gt;=1,F7&lt;=6),E7-F7*50-16,IF(F7=0.01,E7-16,IF(F7=0,0,IF(F7&gt;6,E7-316,0))))</f>
        <v>58</v>
      </c>
    </row>
    <row r="8" spans="1:11" ht="16.5">
      <c r="A8" s="10" t="s">
        <v>211</v>
      </c>
      <c r="B8" s="4">
        <f>VLOOKUP(A8,联盟DKP榜单!A$1:C$598,3,FALSE)-40*COUNTIF(扣分!A:A,A8)+IF(ISNA(VLOOKUP(A8,结余!A$1:B$600,2,0)),0,VLOOKUP(A8,结余!A$1:B$600,2,0))</f>
        <v>171</v>
      </c>
      <c r="C8" s="21">
        <f>50*COUNTIF(帮战总榜!A$1:AB$150,$A8)+40*COUNTIF(掠夺!A$1:AB$150,$A8)</f>
        <v>150</v>
      </c>
      <c r="D8" s="21">
        <f>20*COUNTIF(YY统计!A$2:M$150,$A8)</f>
        <v>20</v>
      </c>
      <c r="E8" s="21">
        <f>SUM(B8:D8)</f>
        <v>341</v>
      </c>
      <c r="F8" s="21">
        <f>IF(AND(E8&gt;0,E8&lt;66),0.01,ROUNDDOWN((E8-16)/50,0))</f>
        <v>6</v>
      </c>
      <c r="G8" s="9">
        <f>IF(AND(F8&gt;=1,F8&lt;=6),E8-F8*50-16,IF(F8=0.01,E8-16,IF(F8=0,0,IF(F8&gt;6,E8-316,0))))</f>
        <v>25</v>
      </c>
    </row>
    <row r="9" spans="1:11" ht="16.5">
      <c r="A9" s="10" t="s">
        <v>213</v>
      </c>
      <c r="B9" s="4">
        <f>VLOOKUP(A9,联盟DKP榜单!A$1:C$598,3,FALSE)-40*COUNTIF(扣分!A:A,A9)+IF(ISNA(VLOOKUP(A9,结余!A$1:B$600,2,0)),0,VLOOKUP(A9,结余!A$1:B$600,2,0))</f>
        <v>175</v>
      </c>
      <c r="C9" s="21">
        <f>50*COUNTIF(帮战总榜!A$1:AB$150,$A9)+40*COUNTIF(掠夺!A$1:AB$150,$A9)</f>
        <v>150</v>
      </c>
      <c r="D9" s="21">
        <f>20*COUNTIF(YY统计!A$2:M$150,$A9)</f>
        <v>20</v>
      </c>
      <c r="E9" s="21">
        <f>SUM(B9:D9)</f>
        <v>345</v>
      </c>
      <c r="F9" s="21">
        <f>IF(AND(E9&gt;0,E9&lt;66),0.01,ROUNDDOWN((E9-16)/50,0))</f>
        <v>6</v>
      </c>
      <c r="G9" s="9">
        <f>IF(AND(F9&gt;=1,F9&lt;=6),E9-F9*50-16,IF(F9=0.01,E9-16,IF(F9=0,0,IF(F9&gt;6,E9-316,0))))</f>
        <v>29</v>
      </c>
    </row>
    <row r="10" spans="1:11" ht="16.5">
      <c r="A10" s="10" t="s">
        <v>214</v>
      </c>
      <c r="B10" s="4">
        <f>VLOOKUP(A10,联盟DKP榜单!A$1:C$598,3,FALSE)-40*COUNTIF(扣分!A:A,A10)+IF(ISNA(VLOOKUP(A10,结余!A$1:B$600,2,0)),0,VLOOKUP(A10,结余!A$1:B$600,2,0))</f>
        <v>118</v>
      </c>
      <c r="C10" s="21">
        <f>50*COUNTIF(帮战总榜!A$1:AB$150,$A10)+40*COUNTIF(掠夺!A$1:AB$150,$A10)</f>
        <v>180</v>
      </c>
      <c r="D10" s="21">
        <f>20*COUNTIF(YY统计!A$2:M$150,$A10)</f>
        <v>20</v>
      </c>
      <c r="E10" s="21">
        <f>SUM(B10:D10)</f>
        <v>318</v>
      </c>
      <c r="F10" s="21">
        <f>IF(AND(E10&gt;0,E10&lt;66),0.01,ROUNDDOWN((E10-16)/50,0))</f>
        <v>6</v>
      </c>
      <c r="G10" s="9">
        <f>IF(AND(F10&gt;=1,F10&lt;=6),E10-F10*50-16,IF(F10=0.01,E10-16,IF(F10=0,0,IF(F10&gt;6,E10-316,0))))</f>
        <v>2</v>
      </c>
    </row>
    <row r="11" spans="1:11" ht="16.5">
      <c r="A11" s="10" t="s">
        <v>234</v>
      </c>
      <c r="B11" s="4">
        <f>VLOOKUP(A11,联盟DKP榜单!A$1:C$598,3,FALSE)-40*COUNTIF(扣分!A:A,A11)+IF(ISNA(VLOOKUP(A11,结余!A$1:B$600,2,0)),0,VLOOKUP(A11,结余!A$1:B$600,2,0))</f>
        <v>82</v>
      </c>
      <c r="C11" s="21">
        <f>50*COUNTIF(帮战总榜!A$1:AB$150,$A11)+40*COUNTIF(掠夺!A$1:AB$150,$A11)</f>
        <v>190</v>
      </c>
      <c r="D11" s="21">
        <f>20*COUNTIF(YY统计!A$2:M$150,$A11)</f>
        <v>40</v>
      </c>
      <c r="E11" s="21">
        <f>SUM(B11:D11)</f>
        <v>312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46</v>
      </c>
    </row>
    <row r="12" spans="1:11" ht="16.5">
      <c r="A12" s="10" t="s">
        <v>520</v>
      </c>
      <c r="B12" s="4">
        <f>VLOOKUP(A12,联盟DKP榜单!A$1:C$598,3,FALSE)-40*COUNTIF(扣分!A:A,A12)+IF(ISNA(VLOOKUP(A12,结余!A$1:B$600,2,0)),0,VLOOKUP(A12,结余!A$1:B$600,2,0))</f>
        <v>140</v>
      </c>
      <c r="C12" s="21">
        <f>50*COUNTIF(帮战总榜!A$1:AB$150,$A12)+40*COUNTIF(掠夺!A$1:AB$150,$A12)</f>
        <v>150</v>
      </c>
      <c r="D12" s="21">
        <f>20*COUNTIF(YY统计!A$2:M$150,$A12)</f>
        <v>20</v>
      </c>
      <c r="E12" s="21">
        <f>SUM(B12:D12)</f>
        <v>310</v>
      </c>
      <c r="F12" s="21">
        <f>IF(AND(E12&gt;0,E12&lt;66),0.01,ROUNDDOWN((E12-16)/50,0))</f>
        <v>5</v>
      </c>
      <c r="G12" s="9">
        <f>IF(AND(F12&gt;=1,F12&lt;=6),E12-F12*50-16,IF(F12=0.01,E12-16,IF(F12=0,0,IF(F12&gt;6,E12-316,0))))</f>
        <v>44</v>
      </c>
    </row>
    <row r="13" spans="1:11" ht="16.5">
      <c r="A13" s="10" t="s">
        <v>517</v>
      </c>
      <c r="B13" s="4">
        <f>VLOOKUP(A13,联盟DKP榜单!A$1:C$598,3,FALSE)-40*COUNTIF(扣分!A:A,A13)+IF(ISNA(VLOOKUP(A13,结余!A$1:B$600,2,0)),0,VLOOKUP(A13,结余!A$1:B$600,2,0))</f>
        <v>120</v>
      </c>
      <c r="C13" s="21">
        <f>50*COUNTIF(帮战总榜!A$1:AB$150,$A13)+40*COUNTIF(掠夺!A$1:AB$150,$A13)</f>
        <v>150</v>
      </c>
      <c r="D13" s="21">
        <f>20*COUNTIF(YY统计!A$2:M$150,$A13)</f>
        <v>0</v>
      </c>
      <c r="E13" s="21">
        <f>SUM(B13:D13)</f>
        <v>270</v>
      </c>
      <c r="F13" s="21">
        <f>IF(AND(E13&gt;0,E13&lt;66),0.01,ROUNDDOWN((E13-16)/50,0))</f>
        <v>5</v>
      </c>
      <c r="G13" s="9">
        <f>IF(AND(F13&gt;=1,F13&lt;=6),E13-F13*50-16,IF(F13=0.01,E13-16,IF(F13=0,0,IF(F13&gt;6,E13-316,0))))</f>
        <v>4</v>
      </c>
    </row>
    <row r="14" spans="1:11" ht="16.5">
      <c r="A14" s="10" t="s">
        <v>221</v>
      </c>
      <c r="B14" s="4">
        <f>VLOOKUP(A14,联盟DKP榜单!A$1:C$598,3,FALSE)-40*COUNTIF(扣分!A:A,A14)+IF(ISNA(VLOOKUP(A14,结余!A$1:B$600,2,0)),0,VLOOKUP(A14,结余!A$1:B$600,2,0))</f>
        <v>171</v>
      </c>
      <c r="C14" s="21">
        <f>50*COUNTIF(帮战总榜!A$1:AB$150,$A14)+40*COUNTIF(掠夺!A$1:AB$150,$A14)</f>
        <v>100</v>
      </c>
      <c r="D14" s="21">
        <f>20*COUNTIF(YY统计!A$2:M$150,$A14)</f>
        <v>20</v>
      </c>
      <c r="E14" s="21">
        <f>SUM(B14:D14)</f>
        <v>291</v>
      </c>
      <c r="F14" s="21">
        <f>IF(AND(E14&gt;0,E14&lt;66),0.01,ROUNDDOWN((E14-16)/50,0))</f>
        <v>5</v>
      </c>
      <c r="G14" s="9">
        <f>IF(AND(F14&gt;=1,F14&lt;=6),E14-F14*50-16,IF(F14=0.01,E14-16,IF(F14=0,0,IF(F14&gt;6,E14-316,0))))</f>
        <v>25</v>
      </c>
    </row>
    <row r="15" spans="1:11" ht="16.5">
      <c r="A15" s="10" t="s">
        <v>511</v>
      </c>
      <c r="B15" s="4">
        <f>VLOOKUP(A15,联盟DKP榜单!A$1:C$598,3,FALSE)-40*COUNTIF(扣分!A:A,A15)+IF(ISNA(VLOOKUP(A15,结余!A$1:B$600,2,0)),0,VLOOKUP(A15,结余!A$1:B$600,2,0))</f>
        <v>188</v>
      </c>
      <c r="C15" s="21">
        <f>50*COUNTIF(帮战总榜!A$1:AB$150,$A15)+40*COUNTIF(掠夺!A$1:AB$150,$A15)</f>
        <v>100</v>
      </c>
      <c r="D15" s="21">
        <f>20*COUNTIF(YY统计!A$2:M$150,$A15)</f>
        <v>20</v>
      </c>
      <c r="E15" s="21">
        <f>SUM(B15:D15)</f>
        <v>308</v>
      </c>
      <c r="F15" s="21">
        <f>IF(AND(E15&gt;0,E15&lt;66),0.01,ROUNDDOWN((E15-16)/50,0))</f>
        <v>5</v>
      </c>
      <c r="G15" s="9">
        <f>IF(AND(F15&gt;=1,F15&lt;=6),E15-F15*50-16,IF(F15=0.01,E15-16,IF(F15=0,0,IF(F15&gt;6,E15-316,0))))</f>
        <v>42</v>
      </c>
    </row>
    <row r="16" spans="1:11" ht="16.5">
      <c r="A16" s="10" t="s">
        <v>510</v>
      </c>
      <c r="B16" s="4">
        <f>VLOOKUP(A16,联盟DKP榜单!A$1:C$598,3,FALSE)-40*COUNTIF(扣分!A:A,A16)+IF(ISNA(VLOOKUP(A16,结余!A$1:B$600,2,0)),0,VLOOKUP(A16,结余!A$1:B$600,2,0))</f>
        <v>115</v>
      </c>
      <c r="C16" s="21">
        <f>50*COUNTIF(帮战总榜!A$1:AB$150,$A16)+40*COUNTIF(掠夺!A$1:AB$150,$A16)</f>
        <v>140</v>
      </c>
      <c r="D16" s="21">
        <f>20*COUNTIF(YY统计!A$2:M$150,$A16)</f>
        <v>20</v>
      </c>
      <c r="E16" s="21">
        <f>SUM(B16:D16)</f>
        <v>275</v>
      </c>
      <c r="F16" s="21">
        <f>IF(AND(E16&gt;0,E16&lt;66),0.01,ROUNDDOWN((E16-16)/50,0))</f>
        <v>5</v>
      </c>
      <c r="G16" s="9">
        <f>IF(AND(F16&gt;=1,F16&lt;=6),E16-F16*50-16,IF(F16=0.01,E16-16,IF(F16=0,0,IF(F16&gt;6,E16-316,0))))</f>
        <v>9</v>
      </c>
    </row>
    <row r="17" spans="1:7" ht="16.5">
      <c r="A17" s="10" t="s">
        <v>215</v>
      </c>
      <c r="B17" s="4">
        <f>VLOOKUP(A17,联盟DKP榜单!A$1:C$598,3,FALSE)-40*COUNTIF(扣分!A:A,A17)+IF(ISNA(VLOOKUP(A17,结余!A$1:B$600,2,0)),0,VLOOKUP(A17,结余!A$1:B$600,2,0))</f>
        <v>96</v>
      </c>
      <c r="C17" s="21">
        <f>50*COUNTIF(帮战总榜!A$1:AB$150,$A17)+40*COUNTIF(掠夺!A$1:AB$150,$A17)</f>
        <v>140</v>
      </c>
      <c r="D17" s="21">
        <f>20*COUNTIF(YY统计!A$2:M$150,$A17)</f>
        <v>20</v>
      </c>
      <c r="E17" s="21">
        <f>SUM(B17:D17)</f>
        <v>256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40</v>
      </c>
    </row>
    <row r="18" spans="1:7" ht="16.5">
      <c r="A18" s="10" t="s">
        <v>479</v>
      </c>
      <c r="B18" s="4">
        <f>VLOOKUP(A18,联盟DKP榜单!A$1:C$598,3,FALSE)-40*COUNTIF(扣分!A:A,A18)+IF(ISNA(VLOOKUP(A18,结余!A$1:B$600,2,0)),0,VLOOKUP(A18,结余!A$1:B$600,2,0))</f>
        <v>81</v>
      </c>
      <c r="C18" s="21">
        <f>50*COUNTIF(帮战总榜!A$1:AB$150,$A18)+40*COUNTIF(掠夺!A$1:AB$150,$A18)</f>
        <v>150</v>
      </c>
      <c r="D18" s="21">
        <f>20*COUNTIF(YY统计!A$2:M$150,$A18)</f>
        <v>0</v>
      </c>
      <c r="E18" s="21">
        <f>SUM(B18:D18)</f>
        <v>231</v>
      </c>
      <c r="F18" s="21">
        <f>IF(AND(E18&gt;0,E18&lt;66),0.01,ROUNDDOWN((E18-16)/50,0))</f>
        <v>4</v>
      </c>
      <c r="G18" s="9">
        <f>IF(AND(F18&gt;=1,F18&lt;=6),E18-F18*50-16,IF(F18=0.01,E18-16,IF(F18=0,0,IF(F18&gt;6,E18-316,0))))</f>
        <v>15</v>
      </c>
    </row>
    <row r="19" spans="1:7" ht="16.5">
      <c r="A19" s="10" t="s">
        <v>550</v>
      </c>
      <c r="B19" s="4">
        <f>VLOOKUP(A19,联盟DKP榜单!A$1:C$598,3,FALSE)-40*COUNTIF(扣分!A:A,A19)+IF(ISNA(VLOOKUP(A19,结余!A$1:B$600,2,0)),0,VLOOKUP(A19,结余!A$1:B$600,2,0))</f>
        <v>103</v>
      </c>
      <c r="C19" s="21">
        <f>50*COUNTIF(帮战总榜!A$1:AB$150,$A19)+40*COUNTIF(掠夺!A$1:AB$150,$A19)</f>
        <v>150</v>
      </c>
      <c r="D19" s="21">
        <f>20*COUNTIF(YY统计!A$2:M$150,$A19)</f>
        <v>0</v>
      </c>
      <c r="E19" s="21">
        <f>SUM(B19:D19)</f>
        <v>253</v>
      </c>
      <c r="F19" s="21">
        <f>IF(AND(E19&gt;0,E19&lt;66),0.01,ROUNDDOWN((E19-16)/50,0))</f>
        <v>4</v>
      </c>
      <c r="G19" s="9">
        <f>IF(AND(F19&gt;=1,F19&lt;=6),E19-F19*50-16,IF(F19=0.01,E19-16,IF(F19=0,0,IF(F19&gt;6,E19-316,0))))</f>
        <v>37</v>
      </c>
    </row>
    <row r="20" spans="1:7" ht="16.5">
      <c r="A20" s="10" t="s">
        <v>251</v>
      </c>
      <c r="B20" s="4">
        <f>VLOOKUP(A20,联盟DKP榜单!A$1:C$598,3,FALSE)-40*COUNTIF(扣分!A:A,A20)+IF(ISNA(VLOOKUP(A20,结余!A$1:B$600,2,0)),0,VLOOKUP(A20,结余!A$1:B$600,2,0))</f>
        <v>119</v>
      </c>
      <c r="C20" s="21">
        <f>50*COUNTIF(帮战总榜!A$1:AB$150,$A20)+40*COUNTIF(掠夺!A$1:AB$150,$A20)</f>
        <v>140</v>
      </c>
      <c r="D20" s="21">
        <f>20*COUNTIF(YY统计!A$2:M$150,$A20)</f>
        <v>0</v>
      </c>
      <c r="E20" s="21">
        <f>SUM(B20:D20)</f>
        <v>259</v>
      </c>
      <c r="F20" s="21">
        <f>IF(AND(E20&gt;0,E20&lt;66),0.01,ROUNDDOWN((E20-16)/50,0))</f>
        <v>4</v>
      </c>
      <c r="G20" s="9">
        <f>IF(AND(F20&gt;=1,F20&lt;=6),E20-F20*50-16,IF(F20=0.01,E20-16,IF(F20=0,0,IF(F20&gt;6,E20-316,0))))</f>
        <v>43</v>
      </c>
    </row>
    <row r="21" spans="1:7" ht="16.5">
      <c r="A21" s="10" t="s">
        <v>15</v>
      </c>
      <c r="B21" s="4">
        <f>VLOOKUP(A21,联盟DKP榜单!A$1:C$598,3,FALSE)-40*COUNTIF(扣分!A:A,A21)+IF(ISNA(VLOOKUP(A21,结余!A$1:B$600,2,0)),0,VLOOKUP(A21,结余!A$1:B$600,2,0))</f>
        <v>176</v>
      </c>
      <c r="C21" s="21">
        <f>50*COUNTIF(帮战总榜!A$1:AB$150,$A21)+40*COUNTIF(掠夺!A$1:AB$150,$A21)</f>
        <v>80</v>
      </c>
      <c r="D21" s="21">
        <f>20*COUNTIF(YY统计!A$2:M$150,$A21)</f>
        <v>40</v>
      </c>
      <c r="E21" s="21">
        <f>SUM(B21:D21)</f>
        <v>296</v>
      </c>
      <c r="F21" s="21">
        <f>IF(AND(E21&gt;0,E21&lt;66),0.01,ROUNDDOWN((E21-16)/50,0))</f>
        <v>5</v>
      </c>
      <c r="G21" s="9">
        <f>IF(AND(F21&gt;=1,F21&lt;=6),E21-F21*50-16,IF(F21=0.01,E21-16,IF(F21=0,0,IF(F21&gt;6,E21-316,0))))</f>
        <v>30</v>
      </c>
    </row>
    <row r="22" spans="1:7" ht="16.5">
      <c r="A22" s="10" t="s">
        <v>266</v>
      </c>
      <c r="B22" s="4">
        <f>VLOOKUP(A22,联盟DKP榜单!A$1:C$598,3,FALSE)-40*COUNTIF(扣分!A:A,A22)+IF(ISNA(VLOOKUP(A22,结余!A$1:B$600,2,0)),0,VLOOKUP(A22,结余!A$1:B$600,2,0))</f>
        <v>-14</v>
      </c>
      <c r="C22" s="21">
        <v>180</v>
      </c>
      <c r="D22" s="21">
        <f>20*COUNTIF(YY统计!A$2:M$150,$A22)</f>
        <v>0</v>
      </c>
      <c r="E22" s="21">
        <f>SUM(B22:D22)</f>
        <v>166</v>
      </c>
      <c r="F22" s="21">
        <f>IF(AND(E22&gt;0,E22&lt;66),0.01,ROUNDDOWN((E22-16)/50,0))</f>
        <v>3</v>
      </c>
      <c r="G22" s="9">
        <f>IF(AND(F22&gt;=1,F22&lt;=6),E22-F22*50-16,IF(F22=0.01,E22-16,IF(F22=0,0,IF(F22&gt;6,E22-316,0))))</f>
        <v>0</v>
      </c>
    </row>
    <row r="23" spans="1:7" ht="16.5">
      <c r="A23" s="10" t="s">
        <v>508</v>
      </c>
      <c r="B23" s="4">
        <f>VLOOKUP(A23,联盟DKP榜单!A$1:C$598,3,FALSE)-40*COUNTIF(扣分!A:A,A23)+IF(ISNA(VLOOKUP(A23,结余!A$1:B$600,2,0)),0,VLOOKUP(A23,结余!A$1:B$600,2,0))</f>
        <v>100</v>
      </c>
      <c r="C23" s="21">
        <f>50*COUNTIF(帮战总榜!A$1:AB$150,$A23)+40*COUNTIF(掠夺!A$1:AB$150,$A23)</f>
        <v>80</v>
      </c>
      <c r="D23" s="21">
        <f>20*COUNTIF(YY统计!A$2:M$150,$A23)</f>
        <v>0</v>
      </c>
      <c r="E23" s="21">
        <f>SUM(B23:D23)</f>
        <v>180</v>
      </c>
      <c r="F23" s="21">
        <f>IF(AND(E23&gt;0,E23&lt;66),0.01,ROUNDDOWN((E23-16)/50,0))</f>
        <v>3</v>
      </c>
      <c r="G23" s="9">
        <f>IF(AND(F23&gt;=1,F23&lt;=6),E23-F23*50-16,IF(F23=0.01,E23-16,IF(F23=0,0,IF(F23&gt;6,E23-316,0))))</f>
        <v>14</v>
      </c>
    </row>
    <row r="24" spans="1:7" ht="16.5">
      <c r="A24" s="10" t="s">
        <v>222</v>
      </c>
      <c r="B24" s="4">
        <f>VLOOKUP(A24,联盟DKP榜单!A$1:C$598,3,FALSE)-40*COUNTIF(扣分!A:A,A24)+IF(ISNA(VLOOKUP(A24,结余!A$1:B$600,2,0)),0,VLOOKUP(A24,结余!A$1:B$600,2,0))</f>
        <v>105</v>
      </c>
      <c r="C24" s="21">
        <f>50*COUNTIF(帮战总榜!A$1:AB$150,$A24)+40*COUNTIF(掠夺!A$1:AB$150,$A24)</f>
        <v>100</v>
      </c>
      <c r="D24" s="21">
        <f>20*COUNTIF(YY统计!A$2:M$150,$A24)</f>
        <v>0</v>
      </c>
      <c r="E24" s="21">
        <f>SUM(B24:D24)</f>
        <v>205</v>
      </c>
      <c r="F24" s="21">
        <f>IF(AND(E24&gt;0,E24&lt;66),0.01,ROUNDDOWN((E24-16)/50,0))</f>
        <v>3</v>
      </c>
      <c r="G24" s="9">
        <f>IF(AND(F24&gt;=1,F24&lt;=6),E24-F24*50-16,IF(F24=0.01,E24-16,IF(F24=0,0,IF(F24&gt;6,E24-316,0))))</f>
        <v>39</v>
      </c>
    </row>
    <row r="25" spans="1:7" ht="16.5">
      <c r="A25" s="10" t="s">
        <v>216</v>
      </c>
      <c r="B25" s="4">
        <f>VLOOKUP(A25,联盟DKP榜单!A$1:C$598,3,FALSE)-40*COUNTIF(扣分!A:A,A25)+IF(ISNA(VLOOKUP(A25,结余!A$1:B$600,2,0)),0,VLOOKUP(A25,结余!A$1:B$600,2,0))</f>
        <v>69</v>
      </c>
      <c r="C25" s="21">
        <f>50*COUNTIF(帮战总榜!A$1:AB$150,$A25)+40*COUNTIF(掠夺!A$1:AB$150,$A25)</f>
        <v>80</v>
      </c>
      <c r="D25" s="21">
        <f>20*COUNTIF(YY统计!A$2:M$150,$A25)</f>
        <v>20</v>
      </c>
      <c r="E25" s="21">
        <f>SUM(B25:D25)</f>
        <v>169</v>
      </c>
      <c r="F25" s="21">
        <f>IF(AND(E25&gt;0,E25&lt;66),0.01,ROUNDDOWN((E25-16)/50,0))</f>
        <v>3</v>
      </c>
      <c r="G25" s="9">
        <f>IF(AND(F25&gt;=1,F25&lt;=6),E25-F25*50-16,IF(F25=0.01,E25-16,IF(F25=0,0,IF(F25&gt;6,E25-316,0))))</f>
        <v>3</v>
      </c>
    </row>
    <row r="26" spans="1:7" ht="16.5">
      <c r="A26" s="10" t="s">
        <v>492</v>
      </c>
      <c r="B26" s="4">
        <f>VLOOKUP(A26,联盟DKP榜单!A$1:C$598,3,FALSE)-40*COUNTIF(扣分!A:A,A26)+IF(ISNA(VLOOKUP(A26,结余!A$1:B$600,2,0)),0,VLOOKUP(A26,结余!A$1:B$600,2,0))</f>
        <v>70</v>
      </c>
      <c r="C26" s="21">
        <f>50*COUNTIF(帮战总榜!A$1:AB$150,$A26)+40*COUNTIF(掠夺!A$1:AB$150,$A26)</f>
        <v>80</v>
      </c>
      <c r="D26" s="21">
        <f>20*COUNTIF(YY统计!A$2:M$150,$A26)</f>
        <v>0</v>
      </c>
      <c r="E26" s="21">
        <f>SUM(B26:D26)</f>
        <v>150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34</v>
      </c>
    </row>
    <row r="27" spans="1:7" ht="16.5">
      <c r="A27" s="10" t="s">
        <v>489</v>
      </c>
      <c r="B27" s="4">
        <f>VLOOKUP(A27,联盟DKP榜单!A$1:C$598,3,FALSE)-40*COUNTIF(扣分!A:A,A27)+IF(ISNA(VLOOKUP(A27,结余!A$1:B$600,2,0)),0,VLOOKUP(A27,结余!A$1:B$600,2,0))</f>
        <v>62</v>
      </c>
      <c r="C27" s="21">
        <f>50*COUNTIF(帮战总榜!A$1:AB$150,$A27)+40*COUNTIF(掠夺!A$1:AB$150,$A27)</f>
        <v>100</v>
      </c>
      <c r="D27" s="21">
        <f>20*COUNTIF(YY统计!A$2:M$150,$A27)</f>
        <v>0</v>
      </c>
      <c r="E27" s="21">
        <f>SUM(B27:D27)</f>
        <v>162</v>
      </c>
      <c r="F27" s="21">
        <f>IF(AND(E27&gt;0,E27&lt;66),0.01,ROUNDDOWN((E27-16)/50,0))</f>
        <v>2</v>
      </c>
      <c r="G27" s="9">
        <f>IF(AND(F27&gt;=1,F27&lt;=6),E27-F27*50-16,IF(F27=0.01,E27-16,IF(F27=0,0,IF(F27&gt;6,E27-316,0))))</f>
        <v>46</v>
      </c>
    </row>
    <row r="28" spans="1:7" ht="16.5">
      <c r="A28" s="10" t="s">
        <v>408</v>
      </c>
      <c r="B28" s="4">
        <f>VLOOKUP(A28,联盟DKP榜单!A$1:C$598,3,FALSE)-40*COUNTIF(扣分!A:A,A28)+IF(ISNA(VLOOKUP(A28,结余!A$1:B$600,2,0)),0,VLOOKUP(A28,结余!A$1:B$600,2,0))</f>
        <v>40</v>
      </c>
      <c r="C28" s="21">
        <f>50*COUNTIF(帮战总榜!A$1:AB$150,$A28)+40*COUNTIF(掠夺!A$1:AB$150,$A28)</f>
        <v>100</v>
      </c>
      <c r="D28" s="21">
        <f>20*COUNTIF(YY统计!A$2:M$150,$A28)</f>
        <v>0</v>
      </c>
      <c r="E28" s="21">
        <f>SUM(B28:D28)</f>
        <v>140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24</v>
      </c>
    </row>
    <row r="29" spans="1:7" ht="16.5">
      <c r="A29" s="10" t="s">
        <v>244</v>
      </c>
      <c r="B29" s="4">
        <f>VLOOKUP(A29,联盟DKP榜单!A$1:C$598,3,FALSE)-40*COUNTIF(扣分!A:A,A29)+IF(ISNA(VLOOKUP(A29,结余!A$1:B$600,2,0)),0,VLOOKUP(A29,结余!A$1:B$600,2,0))</f>
        <v>59</v>
      </c>
      <c r="C29" s="21">
        <f>50*COUNTIF(帮战总榜!A$1:AB$150,$A29)+40*COUNTIF(掠夺!A$1:AB$150,$A29)</f>
        <v>90</v>
      </c>
      <c r="D29" s="21">
        <f>20*COUNTIF(YY统计!A$2:M$150,$A29)</f>
        <v>0</v>
      </c>
      <c r="E29" s="21">
        <f>SUM(B29:D29)</f>
        <v>149</v>
      </c>
      <c r="F29" s="21">
        <f>IF(AND(E29&gt;0,E29&lt;66),0.01,ROUNDDOWN((E29-16)/50,0))</f>
        <v>2</v>
      </c>
      <c r="G29" s="9">
        <f>IF(AND(F29&gt;=1,F29&lt;=6),E29-F29*50-16,IF(F29=0.01,E29-16,IF(F29=0,0,IF(F29&gt;6,E29-316,0))))</f>
        <v>33</v>
      </c>
    </row>
    <row r="30" spans="1:7" ht="16.5">
      <c r="A30" s="10" t="s">
        <v>506</v>
      </c>
      <c r="B30" s="4">
        <f>VLOOKUP(A30,联盟DKP榜单!A$1:C$598,3,FALSE)-40*COUNTIF(扣分!A:A,A30)+IF(ISNA(VLOOKUP(A30,结余!A$1:B$600,2,0)),0,VLOOKUP(A30,结余!A$1:B$600,2,0))</f>
        <v>120</v>
      </c>
      <c r="C30" s="21">
        <f>50*COUNTIF(帮战总榜!A$1:AB$150,$A30)+40*COUNTIF(掠夺!A$1:AB$150,$A30)</f>
        <v>40</v>
      </c>
      <c r="D30" s="21">
        <f>20*COUNTIF(YY统计!A$2:M$150,$A30)</f>
        <v>0</v>
      </c>
      <c r="E30" s="21">
        <f>SUM(B30:D30)</f>
        <v>160</v>
      </c>
      <c r="F30" s="21">
        <f>IF(AND(E30&gt;0,E30&lt;66),0.01,ROUNDDOWN((E30-16)/50,0))</f>
        <v>2</v>
      </c>
      <c r="G30" s="9">
        <f>IF(AND(F30&gt;=1,F30&lt;=6),E30-F30*50-16,IF(F30=0.01,E30-16,IF(F30=0,0,IF(F30&gt;6,E30-316,0))))</f>
        <v>44</v>
      </c>
    </row>
    <row r="31" spans="1:7" ht="16.5">
      <c r="A31" s="10" t="s">
        <v>515</v>
      </c>
      <c r="B31" s="4">
        <f>VLOOKUP(A31,联盟DKP榜单!A$1:C$598,3,FALSE)-40*COUNTIF(扣分!A:A,A31)+IF(ISNA(VLOOKUP(A31,结余!A$1:B$600,2,0)),0,VLOOKUP(A31,结余!A$1:B$600,2,0))</f>
        <v>84</v>
      </c>
      <c r="C31" s="21">
        <f>50*COUNTIF(帮战总榜!A$1:AB$150,$A31)+40*COUNTIF(掠夺!A$1:AB$150,$A31)</f>
        <v>40</v>
      </c>
      <c r="D31" s="21">
        <f>20*COUNTIF(YY统计!A$2:M$150,$A31)</f>
        <v>0</v>
      </c>
      <c r="E31" s="21">
        <f>SUM(B31:D31)</f>
        <v>124</v>
      </c>
      <c r="F31" s="21">
        <f>IF(AND(E31&gt;0,E31&lt;66),0.01,ROUNDDOWN((E31-16)/50,0))</f>
        <v>2</v>
      </c>
      <c r="G31" s="9">
        <f>IF(AND(F31&gt;=1,F31&lt;=6),E31-F31*50-16,IF(F31=0.01,E31-16,IF(F31=0,0,IF(F31&gt;6,E31-316,0))))</f>
        <v>8</v>
      </c>
    </row>
    <row r="32" spans="1:7" ht="16.5">
      <c r="A32" s="10" t="s">
        <v>261</v>
      </c>
      <c r="B32" s="4">
        <f>VLOOKUP(A32,联盟DKP榜单!A$1:C$598,3,FALSE)-40*COUNTIF(扣分!A:A,A32)+IF(ISNA(VLOOKUP(A32,结余!A$1:B$600,2,0)),0,VLOOKUP(A32,结余!A$1:B$600,2,0))</f>
        <v>44</v>
      </c>
      <c r="C32" s="21">
        <f>50*COUNTIF(帮战总榜!A$1:AB$150,$A32)+40*COUNTIF(掠夺!A$1:AB$150,$A32)</f>
        <v>40</v>
      </c>
      <c r="D32" s="21">
        <f>20*COUNTIF(YY统计!A$2:M$150,$A32)</f>
        <v>0</v>
      </c>
      <c r="E32" s="21">
        <f>SUM(B32:D32)</f>
        <v>84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18</v>
      </c>
    </row>
    <row r="33" spans="1:7" ht="16.5">
      <c r="A33" s="10" t="s">
        <v>429</v>
      </c>
      <c r="B33" s="4">
        <f>VLOOKUP(A33,联盟DKP榜单!A$1:C$598,3,FALSE)-40*COUNTIF(扣分!A:A,A33)+IF(ISNA(VLOOKUP(A33,结余!A$1:B$600,2,0)),0,VLOOKUP(A33,结余!A$1:B$600,2,0))</f>
        <v>38</v>
      </c>
      <c r="C33" s="21">
        <f>50*COUNTIF(帮战总榜!A$1:AB$150,$A33)+40*COUNTIF(掠夺!A$1:AB$150,$A33)</f>
        <v>40</v>
      </c>
      <c r="D33" s="21">
        <f>20*COUNTIF(YY统计!A$2:M$150,$A33)</f>
        <v>20</v>
      </c>
      <c r="E33" s="21">
        <f>SUM(B33:D33)</f>
        <v>98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32</v>
      </c>
    </row>
    <row r="34" spans="1:7" ht="16.5">
      <c r="A34" s="10" t="s">
        <v>445</v>
      </c>
      <c r="B34" s="4">
        <f>VLOOKUP(A34,联盟DKP榜单!A$1:C$598,3,FALSE)-40*COUNTIF(扣分!A:A,A34)+IF(ISNA(VLOOKUP(A34,结余!A$1:B$600,2,0)),0,VLOOKUP(A34,结余!A$1:B$600,2,0))</f>
        <v>38</v>
      </c>
      <c r="C34" s="21">
        <f>50*COUNTIF(帮战总榜!A$1:AB$150,$A34)+40*COUNTIF(掠夺!A$1:AB$150,$A34)</f>
        <v>40</v>
      </c>
      <c r="D34" s="21">
        <f>20*COUNTIF(YY统计!A$2:M$150,$A34)</f>
        <v>20</v>
      </c>
      <c r="E34" s="21">
        <f>SUM(B34:D34)</f>
        <v>98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32</v>
      </c>
    </row>
    <row r="35" spans="1:7" ht="16.5">
      <c r="A35" s="10" t="s">
        <v>509</v>
      </c>
      <c r="B35" s="4">
        <f>VLOOKUP(A35,联盟DKP榜单!A$1:C$598,3,FALSE)-40*COUNTIF(扣分!A:A,A35)+IF(ISNA(VLOOKUP(A35,结余!A$1:B$600,2,0)),0,VLOOKUP(A35,结余!A$1:B$600,2,0))</f>
        <v>75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75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9</v>
      </c>
    </row>
    <row r="36" spans="1:7" ht="16.5">
      <c r="A36" s="10" t="s">
        <v>425</v>
      </c>
      <c r="B36" s="4">
        <f>VLOOKUP(A36,联盟DKP榜单!A$1:C$598,3,FALSE)-40*COUNTIF(扣分!A:A,A36)+IF(ISNA(VLOOKUP(A36,结余!A$1:B$600,2,0)),0,VLOOKUP(A36,结余!A$1:B$600,2,0))</f>
        <v>66</v>
      </c>
      <c r="C36" s="21">
        <f>50*COUNTIF(帮战总榜!A$1:AB$150,$A36)+40*COUNTIF(掠夺!A$1:AB$150,$A36)</f>
        <v>0</v>
      </c>
      <c r="D36" s="21">
        <f>20*COUNTIF(YY统计!A$2:M$150,$A36)</f>
        <v>20</v>
      </c>
      <c r="E36" s="21">
        <f>SUM(B36:D36)</f>
        <v>86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20</v>
      </c>
    </row>
    <row r="37" spans="1:7" ht="16.5">
      <c r="A37" s="10" t="s">
        <v>540</v>
      </c>
      <c r="B37" s="4">
        <f>VLOOKUP(A37,联盟DKP榜单!A$1:C$598,3,FALSE)-40*COUNTIF(扣分!A:A,A37)+IF(ISNA(VLOOKUP(A37,结余!A$1:B$600,2,0)),0,VLOOKUP(A37,结余!A$1:B$600,2,0))</f>
        <v>19</v>
      </c>
      <c r="C37" s="21">
        <f>50*COUNTIF(帮战总榜!A$1:AB$150,$A37)+40*COUNTIF(掠夺!A$1:AB$150,$A37)</f>
        <v>40</v>
      </c>
      <c r="D37" s="21">
        <f>20*COUNTIF(YY统计!A$2:M$150,$A37)</f>
        <v>0</v>
      </c>
      <c r="E37" s="21">
        <f>SUM(B37:D37)</f>
        <v>59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43</v>
      </c>
    </row>
    <row r="38" spans="1:7" ht="16.5">
      <c r="A38" s="10" t="s">
        <v>504</v>
      </c>
      <c r="B38" s="4">
        <f>VLOOKUP(A38,联盟DKP榜单!A$1:C$598,3,FALSE)-40*COUNTIF(扣分!A:A,A38)+IF(ISNA(VLOOKUP(A38,结余!A$1:B$600,2,0)),0,VLOOKUP(A38,结余!A$1:B$600,2,0))</f>
        <v>0</v>
      </c>
      <c r="C38" s="21">
        <f>50*COUNTIF(帮战总榜!A$1:AB$150,$A38)+40*COUNTIF(掠夺!A$1:AB$150,$A38)</f>
        <v>40</v>
      </c>
      <c r="D38" s="21">
        <f>20*COUNTIF(YY统计!A$2:M$150,$A38)</f>
        <v>20</v>
      </c>
      <c r="E38" s="21">
        <f>SUM(B38:D38)</f>
        <v>60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44</v>
      </c>
    </row>
    <row r="39" spans="1:7" ht="16.5">
      <c r="A39" s="10" t="s">
        <v>260</v>
      </c>
      <c r="B39" s="4">
        <f>VLOOKUP(A39,联盟DKP榜单!A$1:C$598,3,FALSE)-40*COUNTIF(扣分!A:A,A39)+IF(ISNA(VLOOKUP(A39,结余!A$1:B$600,2,0)),0,VLOOKUP(A39,结余!A$1:B$600,2,0))</f>
        <v>19</v>
      </c>
      <c r="C39" s="21">
        <f>50*COUNTIF(帮战总榜!A$1:AB$150,$A39)+40*COUNTIF(掠夺!A$1:AB$150,$A39)</f>
        <v>40</v>
      </c>
      <c r="D39" s="21">
        <f>20*COUNTIF(YY统计!A$2:M$150,$A39)</f>
        <v>0</v>
      </c>
      <c r="E39" s="21">
        <f>SUM(B39:D39)</f>
        <v>59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43</v>
      </c>
    </row>
    <row r="40" spans="1:7" ht="16.5">
      <c r="A40" s="10" t="s">
        <v>514</v>
      </c>
      <c r="B40" s="4">
        <f>VLOOKUP(A40,联盟DKP榜单!A$1:C$598,3,FALSE)-40*COUNTIF(扣分!A:A,A40)+IF(ISNA(VLOOKUP(A40,结余!A$1:B$600,2,0)),0,VLOOKUP(A40,结余!A$1:B$600,2,0))</f>
        <v>55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55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39</v>
      </c>
    </row>
    <row r="41" spans="1:7" ht="16.5">
      <c r="A41" s="10" t="s">
        <v>513</v>
      </c>
      <c r="B41" s="4">
        <f>VLOOKUP(A41,联盟DKP榜单!A$1:C$598,3,FALSE)-40*COUNTIF(扣分!A:A,A41)+IF(ISNA(VLOOKUP(A41,结余!A$1:B$600,2,0)),0,VLOOKUP(A41,结余!A$1:B$600,2,0))</f>
        <v>58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58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42</v>
      </c>
    </row>
    <row r="42" spans="1:7" ht="16.5">
      <c r="A42" s="10" t="s">
        <v>354</v>
      </c>
      <c r="B42" s="4">
        <f>VLOOKUP(A42,联盟DKP榜单!A$1:C$598,3,FALSE)-40*COUNTIF(扣分!A:A,A42)+IF(ISNA(VLOOKUP(A42,结余!A$1:B$600,2,0)),0,VLOOKUP(A42,结余!A$1:B$600,2,0))</f>
        <v>45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45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29</v>
      </c>
    </row>
    <row r="43" spans="1:7" ht="16.5">
      <c r="A43" s="10" t="s">
        <v>516</v>
      </c>
      <c r="B43" s="4">
        <f>VLOOKUP(A43,联盟DKP榜单!A$1:C$598,3,FALSE)-40*COUNTIF(扣分!A:A,A43)+IF(ISNA(VLOOKUP(A43,结余!A$1:B$600,2,0)),0,VLOOKUP(A43,结余!A$1:B$600,2,0))</f>
        <v>40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40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24</v>
      </c>
    </row>
    <row r="44" spans="1:7" ht="16.5">
      <c r="A44" s="10" t="s">
        <v>220</v>
      </c>
      <c r="B44" s="4">
        <f>VLOOKUP(A44,联盟DKP榜单!A$1:C$598,3,FALSE)-40*COUNTIF(扣分!A:A,A44)+IF(ISNA(VLOOKUP(A44,结余!A$1:B$600,2,0)),0,VLOOKUP(A44,结余!A$1:B$600,2,0))</f>
        <v>32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32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16</v>
      </c>
    </row>
    <row r="45" spans="1:7" ht="16.5">
      <c r="A45" s="10" t="s">
        <v>483</v>
      </c>
      <c r="B45" s="4">
        <f>VLOOKUP(A45,联盟DKP榜单!A$1:C$598,3,FALSE)-40*COUNTIF(扣分!A:A,A45)+IF(ISNA(VLOOKUP(A45,结余!A$1:B$600,2,0)),0,VLOOKUP(A45,结余!A$1:B$600,2,0))</f>
        <v>58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58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42</v>
      </c>
    </row>
    <row r="46" spans="1:7" ht="16.5">
      <c r="A46" s="10" t="s">
        <v>519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35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19</v>
      </c>
    </row>
    <row r="47" spans="1:7" ht="16.5">
      <c r="A47" s="10" t="s">
        <v>521</v>
      </c>
      <c r="B47" s="4">
        <f>VLOOKUP(A47,联盟DKP榜单!A$1:C$598,3,FALSE)-40*COUNTIF(扣分!A:A,A47)+IF(ISNA(VLOOKUP(A47,结余!A$1:B$600,2,0)),0,VLOOKUP(A47,结余!A$1:B$600,2,0))</f>
        <v>35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35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19</v>
      </c>
    </row>
    <row r="48" spans="1:7" ht="16.5">
      <c r="A48" s="10" t="s">
        <v>539</v>
      </c>
      <c r="B48" s="4">
        <f>VLOOKUP(A48,联盟DKP榜单!A$1:C$598,3,FALSE)-40*COUNTIF(扣分!A:A,A48)+IF(ISNA(VLOOKUP(A48,结余!A$1:B$600,2,0)),0,VLOOKUP(A48,结余!A$1:B$600,2,0))</f>
        <v>25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25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9</v>
      </c>
    </row>
    <row r="49" spans="1:7" ht="16.5">
      <c r="A49" s="10" t="s">
        <v>542</v>
      </c>
      <c r="B49" s="4">
        <f>VLOOKUP(A49,联盟DKP榜单!A$1:C$598,3,FALSE)-40*COUNTIF(扣分!A:A,A49)+IF(ISNA(VLOOKUP(A49,结余!A$1:B$600,2,0)),0,VLOOKUP(A49,结余!A$1:B$600,2,0))</f>
        <v>25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25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9</v>
      </c>
    </row>
    <row r="50" spans="1:7" ht="16.5">
      <c r="A50" s="10" t="s">
        <v>246</v>
      </c>
      <c r="B50" s="4">
        <f>VLOOKUP(A50,联盟DKP榜单!A$1:C$598,3,FALSE)-40*COUNTIF(扣分!A:A,A50)+IF(ISNA(VLOOKUP(A50,结余!A$1:B$600,2,0)),0,VLOOKUP(A50,结余!A$1:B$600,2,0))</f>
        <v>25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25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9</v>
      </c>
    </row>
    <row r="51" spans="1:7" ht="16.5">
      <c r="A51" s="10" t="s">
        <v>233</v>
      </c>
      <c r="B51" s="4">
        <f>VLOOKUP(A51,联盟DKP榜单!A$1:C$598,3,FALSE)-40*COUNTIF(扣分!A:A,A51)+IF(ISNA(VLOOKUP(A51,结余!A$1:B$600,2,0)),0,VLOOKUP(A51,结余!A$1:B$600,2,0))</f>
        <v>25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25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9</v>
      </c>
    </row>
    <row r="52" spans="1:7" ht="16.5">
      <c r="A52" s="10" t="s">
        <v>528</v>
      </c>
      <c r="B52" s="4">
        <f>VLOOKUP(A52,联盟DKP榜单!A$1:C$598,3,FALSE)-40*COUNTIF(扣分!A:A,A52)+IF(ISNA(VLOOKUP(A52,结余!A$1:B$600,2,0)),0,VLOOKUP(A52,结余!A$1:B$600,2,0))</f>
        <v>25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25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9</v>
      </c>
    </row>
    <row r="53" spans="1:7" ht="16.5">
      <c r="A53" s="10" t="s">
        <v>524</v>
      </c>
      <c r="B53" s="4">
        <f>VLOOKUP(A53,联盟DKP榜单!A$1:C$598,3,FALSE)-40*COUNTIF(扣分!A:A,A53)+IF(ISNA(VLOOKUP(A53,结余!A$1:B$600,2,0)),0,VLOOKUP(A53,结余!A$1:B$600,2,0))</f>
        <v>33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33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17</v>
      </c>
    </row>
    <row r="54" spans="1:7" ht="16.5">
      <c r="A54" s="10" t="s">
        <v>226</v>
      </c>
      <c r="B54" s="4">
        <f>VLOOKUP(A54,联盟DKP榜单!A$1:C$598,3,FALSE)-40*COUNTIF(扣分!A:A,A54)+IF(ISNA(VLOOKUP(A54,结余!A$1:B$600,2,0)),0,VLOOKUP(A54,结余!A$1:B$600,2,0))</f>
        <v>4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4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-12</v>
      </c>
    </row>
    <row r="55" spans="1:7" ht="16.5">
      <c r="A55" s="10" t="s">
        <v>257</v>
      </c>
      <c r="B55" s="4">
        <f>VLOOKUP(A55,联盟DKP榜单!A$1:C$598,3,FALSE)-40*COUNTIF(扣分!A:A,A55)+IF(ISNA(VLOOKUP(A55,结余!A$1:B$600,2,0)),0,VLOOKUP(A55,结余!A$1:B$600,2,0))</f>
        <v>19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19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3</v>
      </c>
    </row>
    <row r="56" spans="1:7" ht="16.5">
      <c r="A56" s="10" t="s">
        <v>252</v>
      </c>
      <c r="B56" s="4">
        <f>VLOOKUP(A56,联盟DKP榜单!A$1:C$598,3,FALSE)-40*COUNTIF(扣分!A:A,A56)+IF(ISNA(VLOOKUP(A56,结余!A$1:B$600,2,0)),0,VLOOKUP(A56,结余!A$1:B$600,2,0))</f>
        <v>11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11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-5</v>
      </c>
    </row>
    <row r="57" spans="1:7" ht="16.5">
      <c r="A57" s="10" t="s">
        <v>543</v>
      </c>
      <c r="B57" s="4">
        <f>VLOOKUP(A57,联盟DKP榜单!A$1:C$598,3,FALSE)-40*COUNTIF(扣分!A:A,A57)+IF(ISNA(VLOOKUP(A57,结余!A$1:B$600,2,0)),0,VLOOKUP(A57,结余!A$1:B$600,2,0))</f>
        <v>17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17</v>
      </c>
      <c r="F57" s="21">
        <f>IF(AND(E57&gt;0,E57&lt;66),0.01,ROUNDDOWN((E57-16)/50,0))</f>
        <v>0.01</v>
      </c>
      <c r="G57" s="9">
        <f>IF(AND(F57&gt;=1,F57&lt;=6),E57-F57*50-16,IF(F57=0.01,E57-16,IF(F57=0,0,IF(F57&gt;6,E57-316,0))))</f>
        <v>1</v>
      </c>
    </row>
    <row r="58" spans="1:7" ht="16.5">
      <c r="A58" s="10" t="s">
        <v>416</v>
      </c>
      <c r="B58" s="4">
        <f>VLOOKUP(A58,联盟DKP榜单!A$1:C$598,3,FALSE)-40*COUNTIF(扣分!A:A,A58)+IF(ISNA(VLOOKUP(A58,结余!A$1:B$600,2,0)),0,VLOOKUP(A58,结余!A$1:B$600,2,0))</f>
        <v>39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39</v>
      </c>
      <c r="F58" s="21">
        <f>IF(AND(E58&gt;0,E58&lt;66),0.01,ROUNDDOWN((E58-16)/50,0))</f>
        <v>0.01</v>
      </c>
      <c r="G58" s="9">
        <f>IF(AND(F58&gt;=1,F58&lt;=6),E58-F58*50-16,IF(F58=0.01,E58-16,IF(F58=0,0,IF(F58&gt;6,E58-316,0))))</f>
        <v>23</v>
      </c>
    </row>
    <row r="59" spans="1:7" ht="16.5">
      <c r="A59" s="10" t="s">
        <v>535</v>
      </c>
      <c r="B59" s="4">
        <f>VLOOKUP(A59,联盟DKP榜单!A$1:C$598,3,FALSE)-40*COUNTIF(扣分!A:A,A59)+IF(ISNA(VLOOKUP(A59,结余!A$1:B$600,2,0)),0,VLOOKUP(A59,结余!A$1:B$600,2,0))</f>
        <v>48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48</v>
      </c>
      <c r="F59" s="21">
        <f>IF(AND(E59&gt;0,E59&lt;66),0.01,ROUNDDOWN((E59-16)/50,0))</f>
        <v>0.01</v>
      </c>
      <c r="G59" s="9">
        <f>IF(AND(F59&gt;=1,F59&lt;=6),E59-F59*50-16,IF(F59=0.01,E59-16,IF(F59=0,0,IF(F59&gt;6,E59-316,0))))</f>
        <v>32</v>
      </c>
    </row>
    <row r="60" spans="1:7" ht="16.5">
      <c r="A60" s="10" t="s">
        <v>551</v>
      </c>
      <c r="B60" s="4">
        <f>VLOOKUP(A60,联盟DKP榜单!A$1:C$598,3,FALSE)-40*COUNTIF(扣分!A:A,A60)+IF(ISNA(VLOOKUP(A60,结余!A$1:B$600,2,0)),0,VLOOKUP(A60,结余!A$1:B$600,2,0))</f>
        <v>38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38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22</v>
      </c>
    </row>
    <row r="61" spans="1:7" ht="16.5">
      <c r="A61" s="10" t="s">
        <v>414</v>
      </c>
      <c r="B61" s="4">
        <f>VLOOKUP(A61,联盟DKP榜单!A$1:C$598,3,FALSE)-40*COUNTIF(扣分!A:A,A61)+IF(ISNA(VLOOKUP(A61,结余!A$1:B$600,2,0)),0,VLOOKUP(A61,结余!A$1:B$600,2,0))</f>
        <v>3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3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-13</v>
      </c>
    </row>
    <row r="62" spans="1:7" ht="16.5">
      <c r="A62" s="10" t="s">
        <v>563</v>
      </c>
      <c r="B62" s="4">
        <f>VLOOKUP(A62,联盟DKP榜单!A$1:C$598,3,FALSE)-40*COUNTIF(扣分!A:A,A62)+IF(ISNA(VLOOKUP(A62,结余!A$1:B$600,2,0)),0,VLOOKUP(A62,结余!A$1:B$600,2,0))</f>
        <v>47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47</v>
      </c>
      <c r="F62" s="21">
        <f>IF(AND(E62&gt;0,E62&lt;66),0.01,ROUNDDOWN((E62-16)/50,0))</f>
        <v>0.01</v>
      </c>
      <c r="G62" s="9">
        <f>IF(AND(F62&gt;=1,F62&lt;=6),E62-F62*50-16,IF(F62=0.01,E62-16,IF(F62=0,0,IF(F62&gt;6,E62-316,0))))</f>
        <v>31</v>
      </c>
    </row>
    <row r="63" spans="1:7" ht="16.5">
      <c r="A63" s="10" t="s">
        <v>225</v>
      </c>
      <c r="B63" s="4">
        <f>VLOOKUP(A63,联盟DKP榜单!A$1:C$598,3,FALSE)-40*COUNTIF(扣分!A:A,A63)+IF(ISNA(VLOOKUP(A63,结余!A$1:B$600,2,0)),0,VLOOKUP(A63,结余!A$1:B$600,2,0))</f>
        <v>1</v>
      </c>
      <c r="C63" s="21">
        <f>50*COUNTIF(帮战总榜!A$1:AB$150,$A63)+40*COUNTIF(掠夺!A$1:AB$150,$A63)</f>
        <v>0</v>
      </c>
      <c r="D63" s="21">
        <f>20*COUNTIF(YY统计!A$2:M$150,$A63)</f>
        <v>20</v>
      </c>
      <c r="E63" s="21">
        <f>SUM(B63:D63)</f>
        <v>21</v>
      </c>
      <c r="F63" s="21">
        <f>IF(AND(E63&gt;0,E63&lt;66),0.01,ROUNDDOWN((E63-16)/50,0))</f>
        <v>0.01</v>
      </c>
      <c r="G63" s="9">
        <f>IF(AND(F63&gt;=1,F63&lt;=6),E63-F63*50-16,IF(F63=0.01,E63-16,IF(F63=0,0,IF(F63&gt;6,E63-316,0))))</f>
        <v>5</v>
      </c>
    </row>
    <row r="64" spans="1:7" ht="16.5">
      <c r="A64" s="10" t="s">
        <v>599</v>
      </c>
      <c r="B64" s="4">
        <f>VLOOKUP(A64,联盟DKP榜单!A$1:C$598,3,FALSE)-40*COUNTIF(扣分!A:A,A64)+IF(ISNA(VLOOKUP(A64,结余!A$1:B$600,2,0)),0,VLOOKUP(A64,结余!A$1:B$600,2,0))</f>
        <v>32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32</v>
      </c>
      <c r="F64" s="21">
        <f>IF(AND(E64&gt;0,E64&lt;66),0.01,ROUNDDOWN((E64-16)/50,0))</f>
        <v>0.01</v>
      </c>
      <c r="G64" s="9">
        <f>IF(AND(F64&gt;=1,F64&lt;=6),E64-F64*50-16,IF(F64=0.01,E64-16,IF(F64=0,0,IF(F64&gt;6,E64-316,0))))</f>
        <v>16</v>
      </c>
    </row>
    <row r="65" spans="1:7" ht="16.5">
      <c r="A65" s="10" t="s">
        <v>433</v>
      </c>
      <c r="B65" s="4">
        <f>VLOOKUP(A65,联盟DKP榜单!A$1:C$598,3,FALSE)-40*COUNTIF(扣分!A:A,A65)+IF(ISNA(VLOOKUP(A65,结余!A$1:B$600,2,0)),0,VLOOKUP(A65,结余!A$1:B$600,2,0))</f>
        <v>47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47</v>
      </c>
      <c r="F65" s="21">
        <f>IF(AND(E65&gt;0,E65&lt;66),0.01,ROUNDDOWN((E65-16)/50,0))</f>
        <v>0.01</v>
      </c>
      <c r="G65" s="9">
        <f>IF(AND(F65&gt;=1,F65&lt;=6),E65-F65*50-16,IF(F65=0.01,E65-16,IF(F65=0,0,IF(F65&gt;6,E65-316,0))))</f>
        <v>31</v>
      </c>
    </row>
    <row r="66" spans="1:7" ht="16.5">
      <c r="A66" s="10" t="s">
        <v>600</v>
      </c>
      <c r="B66" s="4">
        <f>VLOOKUP(A66,联盟DKP榜单!A$1:C$598,3,FALSE)-40*COUNTIF(扣分!A:A,A66)+IF(ISNA(VLOOKUP(A66,结余!A$1:B$600,2,0)),0,VLOOKUP(A66,结余!A$1:B$600,2,0))</f>
        <v>19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19</v>
      </c>
      <c r="F66" s="21">
        <f>IF(AND(E66&gt;0,E66&lt;66),0.01,ROUNDDOWN((E66-16)/50,0))</f>
        <v>0.01</v>
      </c>
      <c r="G66" s="9">
        <f>IF(AND(F66&gt;=1,F66&lt;=6),E66-F66*50-16,IF(F66=0.01,E66-16,IF(F66=0,0,IF(F66&gt;6,E66-316,0))))</f>
        <v>3</v>
      </c>
    </row>
    <row r="67" spans="1:7" ht="16.5">
      <c r="A67" s="10" t="s">
        <v>601</v>
      </c>
      <c r="B67" s="4">
        <f>VLOOKUP(A67,联盟DKP榜单!A$1:C$598,3,FALSE)-40*COUNTIF(扣分!A:A,A67)+IF(ISNA(VLOOKUP(A67,结余!A$1:B$600,2,0)),0,VLOOKUP(A67,结余!A$1:B$600,2,0))</f>
        <v>17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17</v>
      </c>
      <c r="F67" s="21">
        <f>IF(AND(E67&gt;0,E67&lt;66),0.01,ROUNDDOWN((E67-16)/50,0))</f>
        <v>0.01</v>
      </c>
      <c r="G67" s="9">
        <f>IF(AND(F67&gt;=1,F67&lt;=6),E67-F67*50-16,IF(F67=0.01,E67-16,IF(F67=0,0,IF(F67&gt;6,E67-316,0))))</f>
        <v>1</v>
      </c>
    </row>
    <row r="68" spans="1:7" ht="16.5">
      <c r="A68" s="10" t="s">
        <v>602</v>
      </c>
      <c r="B68" s="4">
        <f>VLOOKUP(A68,联盟DKP榜单!A$1:C$598,3,FALSE)-40*COUNTIF(扣分!A:A,A68)+IF(ISNA(VLOOKUP(A68,结余!A$1:B$600,2,0)),0,VLOOKUP(A68,结余!A$1:B$600,2,0))</f>
        <v>22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22</v>
      </c>
      <c r="F68" s="21">
        <f>IF(AND(E68&gt;0,E68&lt;66),0.01,ROUNDDOWN((E68-16)/50,0))</f>
        <v>0.01</v>
      </c>
      <c r="G68" s="9">
        <f>IF(AND(F68&gt;=1,F68&lt;=6),E68-F68*50-16,IF(F68=0.01,E68-16,IF(F68=0,0,IF(F68&gt;6,E68-316,0))))</f>
        <v>6</v>
      </c>
    </row>
    <row r="69" spans="1:7" ht="16.5">
      <c r="A69" s="10" t="s">
        <v>605</v>
      </c>
      <c r="B69" s="4">
        <f>VLOOKUP(A69,联盟DKP榜单!A$1:C$598,3,FALSE)-40*COUNTIF(扣分!A:A,A69)+IF(ISNA(VLOOKUP(A69,结余!A$1:B$600,2,0)),0,VLOOKUP(A69,结余!A$1:B$600,2,0))</f>
        <v>19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19</v>
      </c>
      <c r="F69" s="21">
        <f>IF(AND(E69&gt;0,E69&lt;66),0.01,ROUNDDOWN((E69-16)/50,0))</f>
        <v>0.01</v>
      </c>
      <c r="G69" s="9">
        <f>IF(AND(F69&gt;=1,F69&lt;=6),E69-F69*50-16,IF(F69=0.01,E69-16,IF(F69=0,0,IF(F69&gt;6,E69-316,0))))</f>
        <v>3</v>
      </c>
    </row>
    <row r="70" spans="1:7" ht="16.5">
      <c r="A70" s="10" t="s">
        <v>250</v>
      </c>
      <c r="B70" s="4">
        <f>VLOOKUP(A70,联盟DKP榜单!A$1:C$598,3,FALSE)-40*COUNTIF(扣分!A:A,A70)+IF(ISNA(VLOOKUP(A70,结余!A$1:B$600,2,0)),0,VLOOKUP(A70,结余!A$1:B$600,2,0))</f>
        <v>-14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-14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548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538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413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237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20</v>
      </c>
      <c r="E74" s="21">
        <f>SUM(B74:D74)</f>
        <v>20</v>
      </c>
      <c r="F74" s="21">
        <f>IF(AND(E74&gt;0,E74&lt;66),0.01,ROUNDDOWN((E74-16)/50,0))</f>
        <v>0.01</v>
      </c>
      <c r="G74" s="9">
        <f>IF(AND(F74&gt;=1,F74&lt;=6),E74-F74*50-16,IF(F74=0.01,E74-16,IF(F74=0,0,IF(F74&gt;6,E74-316,0))))</f>
        <v>4</v>
      </c>
    </row>
    <row r="75" spans="1:7" ht="16.5">
      <c r="A75" s="10" t="s">
        <v>256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348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238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239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217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255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240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547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392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241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254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545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242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544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404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475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560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243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419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245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247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393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541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231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347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224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530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232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529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531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527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526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525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52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412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264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418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263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553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235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499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262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533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534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451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552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259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406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549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443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452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537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230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229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228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564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562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227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248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440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353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249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503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502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352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42</v>
      </c>
      <c r="B140" s="4">
        <f>VLOOKUP(A140,联盟DKP榜单!A$1:C$598,3,FALSE)-40*COUNTIF(扣分!A:A,A140)+IF(ISNA(VLOOKUP(A140,结余!A$1:B$600,2,0)),0,VLOOKUP(A140,结余!A$1:B$600,2,0))</f>
        <v>-14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-14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426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402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603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604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269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268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267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606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5"/>
  <sheetViews>
    <sheetView workbookViewId="0">
      <selection activeCell="G1" sqref="A1:G125"/>
    </sheetView>
  </sheetViews>
  <sheetFormatPr defaultRowHeight="15"/>
  <cols>
    <col min="1" max="1" width="16.28515625" style="1" bestFit="1" customWidth="1"/>
    <col min="2" max="2" width="4.570312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5.28515625" style="6" bestFit="1" customWidth="1"/>
    <col min="7" max="7" width="5.28515625" bestFit="1" customWidth="1"/>
    <col min="8" max="11" width="9.5703125" customWidth="1"/>
  </cols>
  <sheetData>
    <row r="1" spans="1:11" ht="15.75">
      <c r="A1" s="15" t="s">
        <v>5</v>
      </c>
      <c r="B1" s="16" t="s">
        <v>18</v>
      </c>
      <c r="C1" s="16" t="s">
        <v>9</v>
      </c>
      <c r="D1" s="16" t="s">
        <v>19</v>
      </c>
      <c r="E1" s="16" t="s">
        <v>6</v>
      </c>
      <c r="F1" s="16" t="s">
        <v>505</v>
      </c>
      <c r="G1" s="16" t="s">
        <v>477</v>
      </c>
      <c r="J1" s="19"/>
      <c r="K1" s="19"/>
    </row>
    <row r="2" spans="1:11" ht="16.5">
      <c r="A2" s="10" t="s">
        <v>133</v>
      </c>
      <c r="B2" s="4">
        <f>VLOOKUP(A2,联盟DKP榜单!A$1:C$598,3,FALSE)-40*COUNTIF(扣分!A:A,A2)+IF(ISNA(VLOOKUP(A2,结余!A$1:B$600,2,0)),0,VLOOKUP(A2,结余!A$1:B$600,2,0))</f>
        <v>394</v>
      </c>
      <c r="C2" s="21">
        <f>50*COUNTIF(帮战总榜!A$1:AB$150,$A2)+40*COUNTIF(掠夺!A$1:AB$150,$A2)</f>
        <v>230</v>
      </c>
      <c r="D2" s="21">
        <f>20*COUNTIF(YY统计!A$2:M$150,$A2)</f>
        <v>20</v>
      </c>
      <c r="E2" s="21">
        <f>SUM(B2:D2)</f>
        <v>644</v>
      </c>
      <c r="F2" s="21">
        <f>IF(AND(E2&gt;0,E2&lt;66),0.01,ROUNDDOWN((E2-16)/50,0))</f>
        <v>12</v>
      </c>
      <c r="G2" s="9">
        <f>IF(AND(F2&gt;=1,F2&lt;=6),E2-F2*50-16,IF(F2=0.01,E2-16,IF(F2=0,0,IF(F2&gt;6,E2-316,0))))</f>
        <v>328</v>
      </c>
      <c r="J2" s="3"/>
      <c r="K2" s="3"/>
    </row>
    <row r="3" spans="1:11" ht="16.5">
      <c r="A3" s="10" t="s">
        <v>125</v>
      </c>
      <c r="B3" s="4">
        <f>VLOOKUP(A3,联盟DKP榜单!A$1:C$598,3,FALSE)-40*COUNTIF(扣分!A:A,A3)+IF(ISNA(VLOOKUP(A3,结余!A$1:B$600,2,0)),0,VLOOKUP(A3,结余!A$1:B$600,2,0))</f>
        <v>239</v>
      </c>
      <c r="C3" s="21">
        <f>50*COUNTIF(帮战总榜!A$1:AB$150,$A3)+40*COUNTIF(掠夺!A$1:AB$150,$A3)</f>
        <v>230</v>
      </c>
      <c r="D3" s="21">
        <f>20*COUNTIF(YY统计!A$2:M$150,$A3)</f>
        <v>20</v>
      </c>
      <c r="E3" s="21">
        <f>SUM(B3:D3)</f>
        <v>489</v>
      </c>
      <c r="F3" s="21">
        <f>IF(AND(E3&gt;0,E3&lt;66),0.01,ROUNDDOWN((E3-16)/50,0))</f>
        <v>9</v>
      </c>
      <c r="G3" s="9">
        <f>IF(AND(F3&gt;=1,F3&lt;=6),E3-F3*50-16,IF(F3=0.01,E3-16,IF(F3=0,0,IF(F3&gt;6,E3-316,0))))</f>
        <v>173</v>
      </c>
    </row>
    <row r="4" spans="1:11" ht="16.5">
      <c r="A4" s="10" t="s">
        <v>129</v>
      </c>
      <c r="B4" s="4">
        <f>VLOOKUP(A4,联盟DKP榜单!A$1:C$598,3,FALSE)-40*COUNTIF(扣分!A:A,A4)+IF(ISNA(VLOOKUP(A4,结余!A$1:B$600,2,0)),0,VLOOKUP(A4,结余!A$1:B$600,2,0))</f>
        <v>203</v>
      </c>
      <c r="C4" s="21">
        <f>50*COUNTIF(帮战总榜!A$1:AB$150,$A4)+40*COUNTIF(掠夺!A$1:AB$150,$A4)</f>
        <v>190</v>
      </c>
      <c r="D4" s="21">
        <f>20*COUNTIF(YY统计!A$2:M$150,$A4)</f>
        <v>20</v>
      </c>
      <c r="E4" s="21">
        <f>SUM(B4:D4)</f>
        <v>413</v>
      </c>
      <c r="F4" s="21">
        <f>IF(AND(E4&gt;0,E4&lt;66),0.01,ROUNDDOWN((E4-16)/50,0))</f>
        <v>7</v>
      </c>
      <c r="G4" s="9">
        <f>IF(AND(F4&gt;=1,F4&lt;=6),E4-F4*50-16,IF(F4=0.01,E4-16,IF(F4=0,0,IF(F4&gt;6,E4-316,0))))</f>
        <v>97</v>
      </c>
    </row>
    <row r="5" spans="1:11" ht="16.5">
      <c r="A5" s="10" t="s">
        <v>126</v>
      </c>
      <c r="B5" s="4">
        <f>VLOOKUP(A5,联盟DKP榜单!A$1:C$598,3,FALSE)-40*COUNTIF(扣分!A:A,A5)+IF(ISNA(VLOOKUP(A5,结余!A$1:B$600,2,0)),0,VLOOKUP(A5,结余!A$1:B$600,2,0))</f>
        <v>165</v>
      </c>
      <c r="C5" s="21">
        <f>50*COUNTIF(帮战总榜!A$1:AB$150,$A5)+40*COUNTIF(掠夺!A$1:AB$150,$A5)</f>
        <v>230</v>
      </c>
      <c r="D5" s="21">
        <f>20*COUNTIF(YY统计!A$2:M$150,$A5)</f>
        <v>40</v>
      </c>
      <c r="E5" s="21">
        <f>SUM(B5:D5)</f>
        <v>435</v>
      </c>
      <c r="F5" s="21">
        <f>IF(AND(E5&gt;0,E5&lt;66),0.01,ROUNDDOWN((E5-16)/50,0))</f>
        <v>8</v>
      </c>
      <c r="G5" s="9">
        <f>IF(AND(F5&gt;=1,F5&lt;=6),E5-F5*50-16,IF(F5=0.01,E5-16,IF(F5=0,0,IF(F5&gt;6,E5-316,0))))</f>
        <v>119</v>
      </c>
    </row>
    <row r="6" spans="1:11" ht="16.5">
      <c r="A6" s="10" t="s">
        <v>118</v>
      </c>
      <c r="B6" s="4">
        <f>VLOOKUP(A6,联盟DKP榜单!A$1:C$598,3,FALSE)-40*COUNTIF(扣分!A:A,A6)+IF(ISNA(VLOOKUP(A6,结余!A$1:B$600,2,0)),0,VLOOKUP(A6,结余!A$1:B$600,2,0))</f>
        <v>169</v>
      </c>
      <c r="C6" s="21">
        <f>50*COUNTIF(帮战总榜!A$1:AB$150,$A6)+40*COUNTIF(掠夺!A$1:AB$150,$A6)</f>
        <v>230</v>
      </c>
      <c r="D6" s="21">
        <f>20*COUNTIF(YY统计!A$2:M$150,$A6)</f>
        <v>40</v>
      </c>
      <c r="E6" s="21">
        <f>SUM(B6:D6)</f>
        <v>439</v>
      </c>
      <c r="F6" s="21">
        <f>IF(AND(E6&gt;0,E6&lt;66),0.01,ROUNDDOWN((E6-16)/50,0))</f>
        <v>8</v>
      </c>
      <c r="G6" s="9">
        <f>IF(AND(F6&gt;=1,F6&lt;=6),E6-F6*50-16,IF(F6=0.01,E6-16,IF(F6=0,0,IF(F6&gt;6,E6-316,0))))</f>
        <v>123</v>
      </c>
    </row>
    <row r="7" spans="1:11" ht="16.5">
      <c r="A7" s="10" t="s">
        <v>141</v>
      </c>
      <c r="B7" s="4">
        <f>VLOOKUP(A7,联盟DKP榜单!A$1:C$598,3,FALSE)-40*COUNTIF(扣分!A:A,A7)+IF(ISNA(VLOOKUP(A7,结余!A$1:B$600,2,0)),0,VLOOKUP(A7,结余!A$1:B$600,2,0))</f>
        <v>140</v>
      </c>
      <c r="C7" s="21">
        <f>50*COUNTIF(帮战总榜!A$1:AB$150,$A7)+40*COUNTIF(掠夺!A$1:AB$150,$A7)</f>
        <v>230</v>
      </c>
      <c r="D7" s="21">
        <f>20*COUNTIF(YY统计!A$2:M$150,$A7)</f>
        <v>0</v>
      </c>
      <c r="E7" s="21">
        <f>SUM(B7:D7)</f>
        <v>370</v>
      </c>
      <c r="F7" s="21">
        <f>IF(AND(E7&gt;0,E7&lt;66),0.01,ROUNDDOWN((E7-16)/50,0))</f>
        <v>7</v>
      </c>
      <c r="G7" s="9">
        <f>IF(AND(F7&gt;=1,F7&lt;=6),E7-F7*50-16,IF(F7=0.01,E7-16,IF(F7=0,0,IF(F7&gt;6,E7-316,0))))</f>
        <v>54</v>
      </c>
    </row>
    <row r="8" spans="1:11" ht="16.5">
      <c r="A8" s="10" t="s">
        <v>120</v>
      </c>
      <c r="B8" s="4">
        <f>VLOOKUP(A8,联盟DKP榜单!A$1:C$598,3,FALSE)-40*COUNTIF(扣分!A:A,A8)+IF(ISNA(VLOOKUP(A8,结余!A$1:B$600,2,0)),0,VLOOKUP(A8,结余!A$1:B$600,2,0))</f>
        <v>144</v>
      </c>
      <c r="C8" s="21">
        <f>50*COUNTIF(帮战总榜!A$1:AB$150,$A8)+40*COUNTIF(掠夺!A$1:AB$150,$A8)</f>
        <v>230</v>
      </c>
      <c r="D8" s="21">
        <f>20*COUNTIF(YY统计!A$2:M$150,$A8)</f>
        <v>0</v>
      </c>
      <c r="E8" s="21">
        <f>SUM(B8:D8)</f>
        <v>374</v>
      </c>
      <c r="F8" s="21">
        <f>IF(AND(E8&gt;0,E8&lt;66),0.01,ROUNDDOWN((E8-16)/50,0))</f>
        <v>7</v>
      </c>
      <c r="G8" s="9">
        <f>IF(AND(F8&gt;=1,F8&lt;=6),E8-F8*50-16,IF(F8=0.01,E8-16,IF(F8=0,0,IF(F8&gt;6,E8-316,0))))</f>
        <v>58</v>
      </c>
    </row>
    <row r="9" spans="1:11" ht="16.5">
      <c r="A9" s="10" t="s">
        <v>135</v>
      </c>
      <c r="B9" s="4">
        <f>VLOOKUP(A9,联盟DKP榜单!A$1:C$598,3,FALSE)-40*COUNTIF(扣分!A:A,A9)+IF(ISNA(VLOOKUP(A9,结余!A$1:B$600,2,0)),0,VLOOKUP(A9,结余!A$1:B$600,2,0))</f>
        <v>162</v>
      </c>
      <c r="C9" s="21">
        <f>50*COUNTIF(帮战总榜!A$1:AB$150,$A9)+40*COUNTIF(掠夺!A$1:AB$150,$A9)</f>
        <v>190</v>
      </c>
      <c r="D9" s="21">
        <f>20*COUNTIF(YY统计!A$2:M$150,$A9)</f>
        <v>0</v>
      </c>
      <c r="E9" s="21">
        <f>SUM(B9:D9)</f>
        <v>352</v>
      </c>
      <c r="F9" s="21">
        <f>IF(AND(E9&gt;0,E9&lt;66),0.01,ROUNDDOWN((E9-16)/50,0))</f>
        <v>6</v>
      </c>
      <c r="G9" s="9">
        <f>IF(AND(F9&gt;=1,F9&lt;=6),E9-F9*50-16,IF(F9=0.01,E9-16,IF(F9=0,0,IF(F9&gt;6,E9-316,0))))</f>
        <v>36</v>
      </c>
    </row>
    <row r="10" spans="1:11" ht="16.5">
      <c r="A10" s="10" t="s">
        <v>123</v>
      </c>
      <c r="B10" s="4">
        <f>VLOOKUP(A10,联盟DKP榜单!A$1:C$598,3,FALSE)-40*COUNTIF(扣分!A:A,A10)+IF(ISNA(VLOOKUP(A10,结余!A$1:B$600,2,0)),0,VLOOKUP(A10,结余!A$1:B$600,2,0))</f>
        <v>122</v>
      </c>
      <c r="C10" s="21">
        <f>50*COUNTIF(帮战总榜!A$1:AB$150,$A10)+40*COUNTIF(掠夺!A$1:AB$150,$A10)</f>
        <v>180</v>
      </c>
      <c r="D10" s="21">
        <f>20*COUNTIF(YY统计!A$2:M$150,$A10)</f>
        <v>0</v>
      </c>
      <c r="E10" s="21">
        <f>SUM(B10:D10)</f>
        <v>302</v>
      </c>
      <c r="F10" s="21">
        <f>IF(AND(E10&gt;0,E10&lt;66),0.01,ROUNDDOWN((E10-16)/50,0))</f>
        <v>5</v>
      </c>
      <c r="G10" s="9">
        <f>IF(AND(F10&gt;=1,F10&lt;=6),E10-F10*50-16,IF(F10=0.01,E10-16,IF(F10=0,0,IF(F10&gt;6,E10-316,0))))</f>
        <v>36</v>
      </c>
    </row>
    <row r="11" spans="1:11" ht="16.5">
      <c r="A11" s="10" t="s">
        <v>127</v>
      </c>
      <c r="B11" s="4">
        <f>VLOOKUP(A11,联盟DKP榜单!A$1:C$598,3,FALSE)-40*COUNTIF(扣分!A:A,A11)+IF(ISNA(VLOOKUP(A11,结余!A$1:B$600,2,0)),0,VLOOKUP(A11,结余!A$1:B$600,2,0))</f>
        <v>120</v>
      </c>
      <c r="C11" s="21">
        <f>50*COUNTIF(帮战总榜!A$1:AB$150,$A11)+40*COUNTIF(掠夺!A$1:AB$150,$A11)</f>
        <v>150</v>
      </c>
      <c r="D11" s="21">
        <f>20*COUNTIF(YY统计!A$2:M$150,$A11)</f>
        <v>0</v>
      </c>
      <c r="E11" s="21">
        <f>SUM(B11:D11)</f>
        <v>270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4</v>
      </c>
    </row>
    <row r="12" spans="1:11" ht="16.5">
      <c r="A12" s="10" t="s">
        <v>446</v>
      </c>
      <c r="B12" s="4">
        <f>VLOOKUP(A12,联盟DKP榜单!A$1:C$598,3,FALSE)-40*COUNTIF(扣分!A:A,A12)+IF(ISNA(VLOOKUP(A12,结余!A$1:B$600,2,0)),0,VLOOKUP(A12,结余!A$1:B$600,2,0))</f>
        <v>112</v>
      </c>
      <c r="C12" s="21">
        <f>50*COUNTIF(帮战总榜!A$1:AB$150,$A12)+40*COUNTIF(掠夺!A$1:AB$150,$A12)</f>
        <v>190</v>
      </c>
      <c r="D12" s="21">
        <f>20*COUNTIF(YY统计!A$2:M$150,$A12)</f>
        <v>0</v>
      </c>
      <c r="E12" s="21">
        <f>SUM(B12:D12)</f>
        <v>302</v>
      </c>
      <c r="F12" s="21">
        <f>IF(AND(E12&gt;0,E12&lt;66),0.01,ROUNDDOWN((E12-16)/50,0))</f>
        <v>5</v>
      </c>
      <c r="G12" s="9">
        <f>IF(AND(F12&gt;=1,F12&lt;=6),E12-F12*50-16,IF(F12=0.01,E12-16,IF(F12=0,0,IF(F12&gt;6,E12-316,0))))</f>
        <v>36</v>
      </c>
    </row>
    <row r="13" spans="1:11" ht="16.5">
      <c r="A13" s="10" t="s">
        <v>149</v>
      </c>
      <c r="B13" s="4">
        <f>VLOOKUP(A13,联盟DKP榜单!A$1:C$598,3,FALSE)-40*COUNTIF(扣分!A:A,A13)+IF(ISNA(VLOOKUP(A13,结余!A$1:B$600,2,0)),0,VLOOKUP(A13,结余!A$1:B$600,2,0))</f>
        <v>122</v>
      </c>
      <c r="C13" s="21">
        <f>50*COUNTIF(帮战总榜!A$1:AB$150,$A13)+40*COUNTIF(掠夺!A$1:AB$150,$A13)</f>
        <v>150</v>
      </c>
      <c r="D13" s="21">
        <f>20*COUNTIF(YY统计!A$2:M$150,$A13)</f>
        <v>0</v>
      </c>
      <c r="E13" s="21">
        <f>SUM(B13:D13)</f>
        <v>272</v>
      </c>
      <c r="F13" s="21">
        <f>IF(AND(E13&gt;0,E13&lt;66),0.01,ROUNDDOWN((E13-16)/50,0))</f>
        <v>5</v>
      </c>
      <c r="G13" s="9">
        <f>IF(AND(F13&gt;=1,F13&lt;=6),E13-F13*50-16,IF(F13=0.01,E13-16,IF(F13=0,0,IF(F13&gt;6,E13-316,0))))</f>
        <v>6</v>
      </c>
    </row>
    <row r="14" spans="1:11" ht="16.5">
      <c r="A14" s="10" t="s">
        <v>196</v>
      </c>
      <c r="B14" s="4">
        <f>VLOOKUP(A14,联盟DKP榜单!A$1:C$598,3,FALSE)-40*COUNTIF(扣分!A:A,A14)+IF(ISNA(VLOOKUP(A14,结余!A$1:B$600,2,0)),0,VLOOKUP(A14,结余!A$1:B$600,2,0))</f>
        <v>102</v>
      </c>
      <c r="C14" s="21">
        <f>50*COUNTIF(帮战总榜!A$1:AB$150,$A14)+40*COUNTIF(掠夺!A$1:AB$150,$A14)</f>
        <v>130</v>
      </c>
      <c r="D14" s="21">
        <f>20*COUNTIF(YY统计!A$2:M$150,$A14)</f>
        <v>20</v>
      </c>
      <c r="E14" s="21">
        <f>SUM(B14:D14)</f>
        <v>252</v>
      </c>
      <c r="F14" s="21">
        <f>IF(AND(E14&gt;0,E14&lt;66),0.01,ROUNDDOWN((E14-16)/50,0))</f>
        <v>4</v>
      </c>
      <c r="G14" s="9">
        <f>IF(AND(F14&gt;=1,F14&lt;=6),E14-F14*50-16,IF(F14=0.01,E14-16,IF(F14=0,0,IF(F14&gt;6,E14-316,0))))</f>
        <v>36</v>
      </c>
    </row>
    <row r="15" spans="1:11" ht="16.5">
      <c r="A15" s="10" t="s">
        <v>142</v>
      </c>
      <c r="B15" s="4">
        <f>VLOOKUP(A15,联盟DKP榜单!A$1:C$598,3,FALSE)-40*COUNTIF(扣分!A:A,A15)+IF(ISNA(VLOOKUP(A15,结余!A$1:B$600,2,0)),0,VLOOKUP(A15,结余!A$1:B$600,2,0))</f>
        <v>120</v>
      </c>
      <c r="C15" s="21">
        <f>50*COUNTIF(帮战总榜!A$1:AB$150,$A15)+40*COUNTIF(掠夺!A$1:AB$150,$A15)</f>
        <v>100</v>
      </c>
      <c r="D15" s="21">
        <f>20*COUNTIF(YY统计!A$2:M$150,$A15)</f>
        <v>0</v>
      </c>
      <c r="E15" s="21">
        <f>SUM(B15:D15)</f>
        <v>220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4</v>
      </c>
    </row>
    <row r="16" spans="1:11" ht="16.5">
      <c r="A16" s="10" t="s">
        <v>146</v>
      </c>
      <c r="B16" s="4">
        <f>VLOOKUP(A16,联盟DKP榜单!A$1:C$598,3,FALSE)-40*COUNTIF(扣分!A:A,A16)+IF(ISNA(VLOOKUP(A16,结余!A$1:B$600,2,0)),0,VLOOKUP(A16,结余!A$1:B$600,2,0))</f>
        <v>103</v>
      </c>
      <c r="C16" s="21">
        <f>50*COUNTIF(帮战总榜!A$1:AB$150,$A16)+40*COUNTIF(掠夺!A$1:AB$150,$A16)</f>
        <v>140</v>
      </c>
      <c r="D16" s="21">
        <f>20*COUNTIF(YY统计!A$2:M$150,$A16)</f>
        <v>0</v>
      </c>
      <c r="E16" s="21">
        <f>SUM(B16:D16)</f>
        <v>243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27</v>
      </c>
    </row>
    <row r="17" spans="1:7" ht="16.5">
      <c r="A17" s="10" t="s">
        <v>592</v>
      </c>
      <c r="B17" s="4">
        <f>VLOOKUP(A17,联盟DKP榜单!A$1:C$598,3,FALSE)-40*COUNTIF(扣分!A:A,A17)+IF(ISNA(VLOOKUP(A17,结余!A$1:B$600,2,0)),0,VLOOKUP(A17,结余!A$1:B$600,2,0))</f>
        <v>89</v>
      </c>
      <c r="C17" s="21">
        <f>50*COUNTIF(帮战总榜!A$1:AB$150,$A17)+40*COUNTIF(掠夺!A$1:AB$150,$A17)</f>
        <v>150</v>
      </c>
      <c r="D17" s="21">
        <f>20*COUNTIF(YY统计!A$2:M$150,$A17)</f>
        <v>0</v>
      </c>
      <c r="E17" s="21">
        <f>SUM(B17:D17)</f>
        <v>239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23</v>
      </c>
    </row>
    <row r="18" spans="1:7" ht="16.5">
      <c r="A18" s="10" t="s">
        <v>147</v>
      </c>
      <c r="B18" s="4">
        <f>VLOOKUP(A18,联盟DKP榜单!A$1:C$598,3,FALSE)-40*COUNTIF(扣分!A:A,A18)+IF(ISNA(VLOOKUP(A18,结余!A$1:B$600,2,0)),0,VLOOKUP(A18,结余!A$1:B$600,2,0))</f>
        <v>80</v>
      </c>
      <c r="C18" s="21">
        <f>50*COUNTIF(帮战总榜!A$1:AB$150,$A18)+40*COUNTIF(掠夺!A$1:AB$150,$A18)</f>
        <v>150</v>
      </c>
      <c r="D18" s="21">
        <f>20*COUNTIF(YY统计!A$2:M$150,$A18)</f>
        <v>0</v>
      </c>
      <c r="E18" s="21">
        <f>SUM(B18:D18)</f>
        <v>230</v>
      </c>
      <c r="F18" s="21">
        <f>IF(AND(E18&gt;0,E18&lt;66),0.01,ROUNDDOWN((E18-16)/50,0))</f>
        <v>4</v>
      </c>
      <c r="G18" s="9">
        <f>IF(AND(F18&gt;=1,F18&lt;=6),E18-F18*50-16,IF(F18=0.01,E18-16,IF(F18=0,0,IF(F18&gt;6,E18-316,0))))</f>
        <v>14</v>
      </c>
    </row>
    <row r="19" spans="1:7" ht="16.5">
      <c r="A19" s="10" t="s">
        <v>140</v>
      </c>
      <c r="B19" s="4">
        <f>VLOOKUP(A19,联盟DKP榜单!A$1:C$598,3,FALSE)-40*COUNTIF(扣分!A:A,A19)+IF(ISNA(VLOOKUP(A19,结余!A$1:B$600,2,0)),0,VLOOKUP(A19,结余!A$1:B$600,2,0))</f>
        <v>53</v>
      </c>
      <c r="C19" s="21">
        <f>50*COUNTIF(帮战总榜!A$1:AB$150,$A19)+40*COUNTIF(掠夺!A$1:AB$150,$A19)</f>
        <v>180</v>
      </c>
      <c r="D19" s="21">
        <f>20*COUNTIF(YY统计!A$2:M$150,$A19)</f>
        <v>0</v>
      </c>
      <c r="E19" s="21">
        <f>SUM(B19:D19)</f>
        <v>233</v>
      </c>
      <c r="F19" s="21">
        <f>IF(AND(E19&gt;0,E19&lt;66),0.01,ROUNDDOWN((E19-16)/50,0))</f>
        <v>4</v>
      </c>
      <c r="G19" s="9">
        <f>IF(AND(F19&gt;=1,F19&lt;=6),E19-F19*50-16,IF(F19=0.01,E19-16,IF(F19=0,0,IF(F19&gt;6,E19-316,0))))</f>
        <v>17</v>
      </c>
    </row>
    <row r="20" spans="1:7" ht="16.5">
      <c r="A20" s="10" t="s">
        <v>124</v>
      </c>
      <c r="B20" s="4">
        <f>VLOOKUP(A20,联盟DKP榜单!A$1:C$598,3,FALSE)-40*COUNTIF(扣分!A:A,A20)+IF(ISNA(VLOOKUP(A20,结余!A$1:B$600,2,0)),0,VLOOKUP(A20,结余!A$1:B$600,2,0))</f>
        <v>74</v>
      </c>
      <c r="C20" s="21">
        <f>50*COUNTIF(帮战总榜!A$1:AB$150,$A20)+40*COUNTIF(掠夺!A$1:AB$150,$A20)</f>
        <v>140</v>
      </c>
      <c r="D20" s="21">
        <f>20*COUNTIF(YY统计!A$2:M$150,$A20)</f>
        <v>0</v>
      </c>
      <c r="E20" s="21">
        <f>SUM(B20:D20)</f>
        <v>214</v>
      </c>
      <c r="F20" s="21">
        <f>IF(AND(E20&gt;0,E20&lt;66),0.01,ROUNDDOWN((E20-16)/50,0))</f>
        <v>3</v>
      </c>
      <c r="G20" s="9">
        <f>IF(AND(F20&gt;=1,F20&lt;=6),E20-F20*50-16,IF(F20=0.01,E20-16,IF(F20=0,0,IF(F20&gt;6,E20-316,0))))</f>
        <v>48</v>
      </c>
    </row>
    <row r="21" spans="1:7" ht="16.5">
      <c r="A21" s="10" t="s">
        <v>139</v>
      </c>
      <c r="B21" s="4">
        <f>VLOOKUP(A21,联盟DKP榜单!A$1:C$598,3,FALSE)-40*COUNTIF(扣分!A:A,A21)+IF(ISNA(VLOOKUP(A21,结余!A$1:B$600,2,0)),0,VLOOKUP(A21,结余!A$1:B$600,2,0))</f>
        <v>53</v>
      </c>
      <c r="C21" s="21">
        <f>50*COUNTIF(帮战总榜!A$1:AB$150,$A21)+40*COUNTIF(掠夺!A$1:AB$150,$A21)</f>
        <v>100</v>
      </c>
      <c r="D21" s="21">
        <f>20*COUNTIF(YY统计!A$2:M$150,$A21)</f>
        <v>0</v>
      </c>
      <c r="E21" s="21">
        <f>SUM(B21:D21)</f>
        <v>153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37</v>
      </c>
    </row>
    <row r="22" spans="1:7" ht="16.5">
      <c r="A22" s="10" t="s">
        <v>119</v>
      </c>
      <c r="B22" s="4">
        <f>VLOOKUP(A22,联盟DKP榜单!A$1:C$598,3,FALSE)-40*COUNTIF(扣分!A:A,A22)+IF(ISNA(VLOOKUP(A22,结余!A$1:B$600,2,0)),0,VLOOKUP(A22,结余!A$1:B$600,2,0))</f>
        <v>50</v>
      </c>
      <c r="C22" s="21">
        <f>50*COUNTIF(帮战总榜!A$1:AB$150,$A22)+40*COUNTIF(掠夺!A$1:AB$150,$A22)</f>
        <v>80</v>
      </c>
      <c r="D22" s="21">
        <f>20*COUNTIF(YY统计!A$2:M$150,$A22)</f>
        <v>20</v>
      </c>
      <c r="E22" s="21">
        <f>SUM(B22:D22)</f>
        <v>150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34</v>
      </c>
    </row>
    <row r="23" spans="1:7" ht="16.5">
      <c r="A23" s="10" t="s">
        <v>134</v>
      </c>
      <c r="B23" s="4">
        <f>VLOOKUP(A23,联盟DKP榜单!A$1:C$598,3,FALSE)-40*COUNTIF(扣分!A:A,A23)+IF(ISNA(VLOOKUP(A23,结余!A$1:B$600,2,0)),0,VLOOKUP(A23,结余!A$1:B$600,2,0))</f>
        <v>56</v>
      </c>
      <c r="C23" s="21">
        <f>50*COUNTIF(帮战总榜!A$1:AB$150,$A23)+40*COUNTIF(掠夺!A$1:AB$150,$A23)</f>
        <v>100</v>
      </c>
      <c r="D23" s="21">
        <f>20*COUNTIF(YY统计!A$2:M$150,$A23)</f>
        <v>20</v>
      </c>
      <c r="E23" s="21">
        <f>SUM(B23:D23)</f>
        <v>176</v>
      </c>
      <c r="F23" s="21">
        <f>IF(AND(E23&gt;0,E23&lt;66),0.01,ROUNDDOWN((E23-16)/50,0))</f>
        <v>3</v>
      </c>
      <c r="G23" s="9">
        <f>IF(AND(F23&gt;=1,F23&lt;=6),E23-F23*50-16,IF(F23=0.01,E23-16,IF(F23=0,0,IF(F23&gt;6,E23-316,0))))</f>
        <v>10</v>
      </c>
    </row>
    <row r="24" spans="1:7" ht="16.5">
      <c r="A24" s="10" t="s">
        <v>136</v>
      </c>
      <c r="B24" s="4">
        <f>VLOOKUP(A24,联盟DKP榜单!A$1:C$598,3,FALSE)-40*COUNTIF(扣分!A:A,A24)+IF(ISNA(VLOOKUP(A24,结余!A$1:B$600,2,0)),0,VLOOKUP(A24,结余!A$1:B$600,2,0))</f>
        <v>40</v>
      </c>
      <c r="C24" s="21">
        <f>50*COUNTIF(帮战总榜!A$1:AB$150,$A24)+40*COUNTIF(掠夺!A$1:AB$150,$A24)</f>
        <v>100</v>
      </c>
      <c r="D24" s="21">
        <f>20*COUNTIF(YY统计!A$2:M$150,$A24)</f>
        <v>0</v>
      </c>
      <c r="E24" s="21">
        <f>SUM(B24:D24)</f>
        <v>140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24</v>
      </c>
    </row>
    <row r="25" spans="1:7" ht="16.5">
      <c r="A25" s="10" t="s">
        <v>130</v>
      </c>
      <c r="B25" s="4">
        <f>VLOOKUP(A25,联盟DKP榜单!A$1:C$598,3,FALSE)-40*COUNTIF(扣分!A:A,A25)+IF(ISNA(VLOOKUP(A25,结余!A$1:B$600,2,0)),0,VLOOKUP(A25,结余!A$1:B$600,2,0))</f>
        <v>59</v>
      </c>
      <c r="C25" s="21">
        <f>50*COUNTIF(帮战总榜!A$1:AB$150,$A25)+40*COUNTIF(掠夺!A$1:AB$150,$A25)</f>
        <v>100</v>
      </c>
      <c r="D25" s="21">
        <f>20*COUNTIF(YY统计!A$2:M$150,$A25)</f>
        <v>0</v>
      </c>
      <c r="E25" s="21">
        <f>SUM(B25:D25)</f>
        <v>159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43</v>
      </c>
    </row>
    <row r="26" spans="1:7" ht="16.5">
      <c r="A26" s="10" t="s">
        <v>265</v>
      </c>
      <c r="B26" s="4">
        <f>VLOOKUP(A26,联盟DKP榜单!A$1:C$598,3,FALSE)-40*COUNTIF(扣分!A:A,A26)+IF(ISNA(VLOOKUP(A26,结余!A$1:B$600,2,0)),0,VLOOKUP(A26,结余!A$1:B$600,2,0))</f>
        <v>63</v>
      </c>
      <c r="C26" s="21">
        <f>50*COUNTIF(帮战总榜!A$1:AB$150,$A26)+40*COUNTIF(掠夺!A$1:AB$150,$A26)</f>
        <v>40</v>
      </c>
      <c r="D26" s="21">
        <f>20*COUNTIF(YY统计!A$2:M$150,$A26)</f>
        <v>0</v>
      </c>
      <c r="E26" s="21">
        <f>SUM(B26:D26)</f>
        <v>103</v>
      </c>
      <c r="F26" s="21">
        <f>IF(AND(E26&gt;0,E26&lt;66),0.01,ROUNDDOWN((E26-16)/50,0))</f>
        <v>1</v>
      </c>
      <c r="G26" s="9">
        <f>IF(AND(F26&gt;=1,F26&lt;=6),E26-F26*50-16,IF(F26=0.01,E26-16,IF(F26=0,0,IF(F26&gt;6,E26-316,0))))</f>
        <v>37</v>
      </c>
    </row>
    <row r="27" spans="1:7" ht="16.5">
      <c r="A27" s="10" t="s">
        <v>131</v>
      </c>
      <c r="B27" s="4">
        <f>VLOOKUP(A27,联盟DKP榜单!A$1:C$598,3,FALSE)-40*COUNTIF(扣分!A:A,A27)+IF(ISNA(VLOOKUP(A27,结余!A$1:B$600,2,0)),0,VLOOKUP(A27,结余!A$1:B$600,2,0))</f>
        <v>31</v>
      </c>
      <c r="C27" s="21">
        <f>50*COUNTIF(帮战总榜!A$1:AB$150,$A27)+40*COUNTIF(掠夺!A$1:AB$150,$A27)</f>
        <v>40</v>
      </c>
      <c r="D27" s="21">
        <f>20*COUNTIF(YY统计!A$2:M$150,$A27)</f>
        <v>0</v>
      </c>
      <c r="E27" s="21">
        <f>SUM(B27:D27)</f>
        <v>71</v>
      </c>
      <c r="F27" s="21">
        <f>IF(AND(E27&gt;0,E27&lt;66),0.01,ROUNDDOWN((E27-16)/50,0))</f>
        <v>1</v>
      </c>
      <c r="G27" s="9">
        <f>IF(AND(F27&gt;=1,F27&lt;=6),E27-F27*50-16,IF(F27=0.01,E27-16,IF(F27=0,0,IF(F27&gt;6,E27-316,0))))</f>
        <v>5</v>
      </c>
    </row>
    <row r="28" spans="1:7" ht="16.5">
      <c r="A28" s="10" t="s">
        <v>432</v>
      </c>
      <c r="B28" s="4">
        <f>VLOOKUP(A28,联盟DKP榜单!A$1:C$598,3,FALSE)-40*COUNTIF(扣分!A:A,A28)+IF(ISNA(VLOOKUP(A28,结余!A$1:B$600,2,0)),0,VLOOKUP(A28,结余!A$1:B$600,2,0))</f>
        <v>29</v>
      </c>
      <c r="C28" s="21">
        <f>50*COUNTIF(帮战总榜!A$1:AB$150,$A28)+40*COUNTIF(掠夺!A$1:AB$150,$A28)</f>
        <v>40</v>
      </c>
      <c r="D28" s="21">
        <f>20*COUNTIF(YY统计!A$2:M$150,$A28)</f>
        <v>0</v>
      </c>
      <c r="E28" s="21">
        <f>SUM(B28:D28)</f>
        <v>69</v>
      </c>
      <c r="F28" s="21">
        <f>IF(AND(E28&gt;0,E28&lt;66),0.01,ROUNDDOWN((E28-16)/50,0))</f>
        <v>1</v>
      </c>
      <c r="G28" s="9">
        <f>IF(AND(F28&gt;=1,F28&lt;=6),E28-F28*50-16,IF(F28=0.01,E28-16,IF(F28=0,0,IF(F28&gt;6,E28-316,0))))</f>
        <v>3</v>
      </c>
    </row>
    <row r="29" spans="1:7" ht="16.5">
      <c r="A29" s="10" t="s">
        <v>144</v>
      </c>
      <c r="B29" s="4">
        <f>VLOOKUP(A29,联盟DKP榜单!A$1:C$598,3,FALSE)-40*COUNTIF(扣分!A:A,A29)+IF(ISNA(VLOOKUP(A29,结余!A$1:B$600,2,0)),0,VLOOKUP(A29,结余!A$1:B$600,2,0))</f>
        <v>41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>SUM(B29:D29)</f>
        <v>81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15</v>
      </c>
    </row>
    <row r="30" spans="1:7" ht="16.5">
      <c r="A30" s="10" t="s">
        <v>192</v>
      </c>
      <c r="B30" s="4">
        <f>VLOOKUP(A30,联盟DKP榜单!A$1:C$598,3,FALSE)-40*COUNTIF(扣分!A:A,A30)+IF(ISNA(VLOOKUP(A30,结余!A$1:B$600,2,0)),0,VLOOKUP(A30,结余!A$1:B$600,2,0))</f>
        <v>31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31</v>
      </c>
      <c r="F30" s="21">
        <f>IF(AND(E30&gt;0,E30&lt;66),0.01,ROUNDDOWN((E30-16)/50,0))</f>
        <v>0.01</v>
      </c>
      <c r="G30" s="9">
        <f>IF(AND(F30&gt;=1,F30&lt;=6),E30-F30*50-16,IF(F30=0.01,E30-16,IF(F30=0,0,IF(F30&gt;6,E30-316,0))))</f>
        <v>15</v>
      </c>
    </row>
    <row r="31" spans="1:7" ht="16.5">
      <c r="A31" s="10" t="s">
        <v>594</v>
      </c>
      <c r="B31" s="4">
        <f>VLOOKUP(A31,联盟DKP榜单!A$1:C$598,3,FALSE)-40*COUNTIF(扣分!A:A,A31)+IF(ISNA(VLOOKUP(A31,结余!A$1:B$600,2,0)),0,VLOOKUP(A31,结余!A$1:B$600,2,0))</f>
        <v>20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20</v>
      </c>
      <c r="F31" s="21">
        <f>IF(AND(E31&gt;0,E31&lt;66),0.01,ROUNDDOWN((E31-16)/50,0))</f>
        <v>0.01</v>
      </c>
      <c r="G31" s="9">
        <f>IF(AND(F31&gt;=1,F31&lt;=6),E31-F31*50-16,IF(F31=0.01,E31-16,IF(F31=0,0,IF(F31&gt;6,E31-316,0))))</f>
        <v>4</v>
      </c>
    </row>
    <row r="32" spans="1:7" ht="16.5">
      <c r="A32" s="10" t="s">
        <v>191</v>
      </c>
      <c r="B32" s="4">
        <f>VLOOKUP(A32,联盟DKP榜单!A$1:C$598,3,FALSE)-40*COUNTIF(扣分!A:A,A32)+IF(ISNA(VLOOKUP(A32,结余!A$1:B$600,2,0)),0,VLOOKUP(A32,结余!A$1:B$600,2,0))</f>
        <v>50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50</v>
      </c>
      <c r="F32" s="21">
        <f>IF(AND(E32&gt;0,E32&lt;66),0.01,ROUNDDOWN((E32-16)/50,0))</f>
        <v>0.01</v>
      </c>
      <c r="G32" s="9">
        <f>IF(AND(F32&gt;=1,F32&lt;=6),E32-F32*50-16,IF(F32=0.01,E32-16,IF(F32=0,0,IF(F32&gt;6,E32-316,0))))</f>
        <v>34</v>
      </c>
    </row>
    <row r="33" spans="1:7" ht="16.5">
      <c r="A33" s="10" t="s">
        <v>591</v>
      </c>
      <c r="B33" s="4">
        <f>VLOOKUP(A33,联盟DKP榜单!A$1:C$598,3,FALSE)-40*COUNTIF(扣分!A:A,A33)+IF(ISNA(VLOOKUP(A33,结余!A$1:B$600,2,0)),0,VLOOKUP(A33,结余!A$1:B$600,2,0))</f>
        <v>19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19</v>
      </c>
      <c r="F33" s="21">
        <f>IF(AND(E33&gt;0,E33&lt;66),0.01,ROUNDDOWN((E33-16)/50,0))</f>
        <v>0.01</v>
      </c>
      <c r="G33" s="9">
        <f>IF(AND(F33&gt;=1,F33&lt;=6),E33-F33*50-16,IF(F33=0.01,E33-16,IF(F33=0,0,IF(F33&gt;6,E33-316,0))))</f>
        <v>3</v>
      </c>
    </row>
    <row r="34" spans="1:7" ht="16.5">
      <c r="A34" s="10" t="s">
        <v>597</v>
      </c>
      <c r="B34" s="4">
        <f>VLOOKUP(A34,联盟DKP榜单!A$1:C$598,3,FALSE)-40*COUNTIF(扣分!A:A,A34)+IF(ISNA(VLOOKUP(A34,结余!A$1:B$600,2,0)),0,VLOOKUP(A34,结余!A$1:B$600,2,0))</f>
        <v>19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19</v>
      </c>
      <c r="F34" s="21">
        <f>IF(AND(E34&gt;0,E34&lt;66),0.01,ROUNDDOWN((E34-16)/50,0))</f>
        <v>0.01</v>
      </c>
      <c r="G34" s="9">
        <f>IF(AND(F34&gt;=1,F34&lt;=6),E34-F34*50-16,IF(F34=0.01,E34-16,IF(F34=0,0,IF(F34&gt;6,E34-316,0))))</f>
        <v>3</v>
      </c>
    </row>
    <row r="35" spans="1:7" ht="16.5">
      <c r="A35" s="10" t="s">
        <v>148</v>
      </c>
      <c r="B35" s="4">
        <f>VLOOKUP(A35,联盟DKP榜单!A$1:C$598,3,FALSE)-40*COUNTIF(扣分!A:A,A35)+IF(ISNA(VLOOKUP(A35,结余!A$1:B$600,2,0)),0,VLOOKUP(A35,结余!A$1:B$600,2,0))</f>
        <v>49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49</v>
      </c>
      <c r="F35" s="21">
        <f>IF(AND(E35&gt;0,E35&lt;66),0.01,ROUNDDOWN((E35-16)/50,0))</f>
        <v>0.01</v>
      </c>
      <c r="G35" s="9">
        <f>IF(AND(F35&gt;=1,F35&lt;=6),E35-F35*50-16,IF(F35=0.01,E35-16,IF(F35=0,0,IF(F35&gt;6,E35-316,0))))</f>
        <v>33</v>
      </c>
    </row>
    <row r="36" spans="1:7" ht="16.5">
      <c r="A36" s="10" t="s">
        <v>210</v>
      </c>
      <c r="B36" s="4">
        <f>VLOOKUP(A36,联盟DKP榜单!A$1:C$598,3,FALSE)-40*COUNTIF(扣分!A:A,A36)+IF(ISNA(VLOOKUP(A36,结余!A$1:B$600,2,0)),0,VLOOKUP(A36,结余!A$1:B$600,2,0))</f>
        <v>3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3</v>
      </c>
      <c r="F36" s="21">
        <f>IF(AND(E36&gt;0,E36&lt;66),0.01,ROUNDDOWN((E36-16)/50,0))</f>
        <v>0.01</v>
      </c>
      <c r="G36" s="9">
        <f>IF(AND(F36&gt;=1,F36&lt;=6),E36-F36*50-16,IF(F36=0.01,E36-16,IF(F36=0,0,IF(F36&gt;6,E36-316,0))))</f>
        <v>-13</v>
      </c>
    </row>
    <row r="37" spans="1:7" ht="16.5">
      <c r="A37" s="10" t="s">
        <v>186</v>
      </c>
      <c r="B37" s="4">
        <f>VLOOKUP(A37,联盟DKP榜单!A$1:C$598,3,FALSE)-40*COUNTIF(扣分!A:A,A37)+IF(ISNA(VLOOKUP(A37,结余!A$1:B$600,2,0)),0,VLOOKUP(A37,结余!A$1:B$600,2,0))</f>
        <v>42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42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26</v>
      </c>
    </row>
    <row r="38" spans="1:7" ht="16.5">
      <c r="A38" s="10" t="s">
        <v>184</v>
      </c>
      <c r="B38" s="4">
        <f>VLOOKUP(A38,联盟DKP榜单!A$1:C$598,3,FALSE)-40*COUNTIF(扣分!A:A,A38)+IF(ISNA(VLOOKUP(A38,结余!A$1:B$600,2,0)),0,VLOOKUP(A38,结余!A$1:B$600,2,0))</f>
        <v>14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14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-2</v>
      </c>
    </row>
    <row r="39" spans="1:7" ht="16.5">
      <c r="A39" s="10" t="s">
        <v>610</v>
      </c>
      <c r="B39" s="4">
        <f>VLOOKUP(A39,联盟DKP榜单!A$1:C$598,3,FALSE)-40*COUNTIF(扣分!A:A,A39)+IF(ISNA(VLOOKUP(A39,结余!A$1:B$600,2,0)),0,VLOOKUP(A39,结余!A$1:B$600,2,0))</f>
        <v>22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22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6</v>
      </c>
    </row>
    <row r="40" spans="1:7" ht="16.5">
      <c r="A40" s="10" t="s">
        <v>132</v>
      </c>
      <c r="B40" s="4">
        <f>VLOOKUP(A40,联盟DKP榜单!A$1:C$598,3,FALSE)-40*COUNTIF(扣分!A:A,A40)+IF(ISNA(VLOOKUP(A40,结余!A$1:B$600,2,0)),0,VLOOKUP(A40,结余!A$1:B$600,2,0))</f>
        <v>33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33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17</v>
      </c>
    </row>
    <row r="41" spans="1:7" ht="16.5">
      <c r="A41" s="10" t="s">
        <v>138</v>
      </c>
      <c r="B41" s="4">
        <f>VLOOKUP(A41,联盟DKP榜单!A$1:C$598,3,FALSE)-40*COUNTIF(扣分!A:A,A41)+IF(ISNA(VLOOKUP(A41,结余!A$1:B$600,2,0)),0,VLOOKUP(A41,结余!A$1:B$600,2,0))</f>
        <v>32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32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16</v>
      </c>
    </row>
    <row r="42" spans="1:7" ht="16.5">
      <c r="A42" s="10" t="s">
        <v>163</v>
      </c>
      <c r="B42" s="4">
        <f>VLOOKUP(A42,联盟DKP榜单!A$1:C$598,3,FALSE)-40*COUNTIF(扣分!A:A,A42)+IF(ISNA(VLOOKUP(A42,结余!A$1:B$600,2,0)),0,VLOOKUP(A42,结余!A$1:B$600,2,0))</f>
        <v>8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8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-8</v>
      </c>
    </row>
    <row r="43" spans="1:7" ht="16.5">
      <c r="A43" s="10" t="s">
        <v>615</v>
      </c>
      <c r="B43" s="4">
        <f>VLOOKUP(A43,联盟DKP榜单!A$1:C$598,3,FALSE)-40*COUNTIF(扣分!A:A,A43)+IF(ISNA(VLOOKUP(A43,结余!A$1:B$600,2,0)),0,VLOOKUP(A43,结余!A$1:B$600,2,0))</f>
        <v>17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17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1</v>
      </c>
    </row>
    <row r="44" spans="1:7" ht="16.5">
      <c r="A44" s="10" t="s">
        <v>156</v>
      </c>
      <c r="B44" s="4">
        <f>VLOOKUP(A44,联盟DKP榜单!A$1:C$598,3,FALSE)-40*COUNTIF(扣分!A:A,A44)+IF(ISNA(VLOOKUP(A44,结余!A$1:B$600,2,0)),0,VLOOKUP(A44,结余!A$1:B$600,2,0))</f>
        <v>19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19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3</v>
      </c>
    </row>
    <row r="45" spans="1:7" ht="16.5">
      <c r="A45" s="10" t="s">
        <v>117</v>
      </c>
      <c r="B45" s="4">
        <f>VLOOKUP(A45,联盟DKP榜单!A$1:C$598,3,FALSE)-40*COUNTIF(扣分!A:A,A45)+IF(ISNA(VLOOKUP(A45,结余!A$1:B$600,2,0)),0,VLOOKUP(A45,结余!A$1:B$600,2,0))</f>
        <v>13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13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-3</v>
      </c>
    </row>
    <row r="46" spans="1:7" ht="16.5">
      <c r="A46" s="10" t="s">
        <v>115</v>
      </c>
      <c r="B46" s="4">
        <f>VLOOKUP(A46,联盟DKP榜单!A$1:C$598,3,FALSE)-40*COUNTIF(扣分!A:A,A46)+IF(ISNA(VLOOKUP(A46,结余!A$1:B$600,2,0)),0,VLOOKUP(A46,结余!A$1:B$600,2,0))</f>
        <v>6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6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-10</v>
      </c>
    </row>
    <row r="47" spans="1:7" ht="16.5">
      <c r="A47" s="10" t="s">
        <v>397</v>
      </c>
      <c r="B47" s="4">
        <f>VLOOKUP(A47,联盟DKP榜单!A$1:C$598,3,FALSE)-40*COUNTIF(扣分!A:A,A47)+IF(ISNA(VLOOKUP(A47,结余!A$1:B$600,2,0)),0,VLOOKUP(A47,结余!A$1:B$600,2,0))</f>
        <v>0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0</v>
      </c>
      <c r="F47" s="21">
        <f>IF(AND(E47&gt;0,E47&lt;66),0.01,ROUNDDOWN((E47-16)/50,0))</f>
        <v>0</v>
      </c>
      <c r="G47" s="9">
        <f>IF(AND(F47&gt;=1,F47&lt;=6),E47-F47*50-16,IF(F47=0.01,E47-16,IF(F47=0,0,IF(F47&gt;6,E47-316,0))))</f>
        <v>0</v>
      </c>
    </row>
    <row r="48" spans="1:7" ht="16.5">
      <c r="A48" s="10" t="s">
        <v>169</v>
      </c>
      <c r="B48" s="4">
        <f>VLOOKUP(A48,联盟DKP榜单!A$1:C$598,3,FALSE)-40*COUNTIF(扣分!A:A,A48)+IF(ISNA(VLOOKUP(A48,结余!A$1:B$600,2,0)),0,VLOOKUP(A48,结余!A$1:B$600,2,0))</f>
        <v>0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0</v>
      </c>
      <c r="F48" s="21">
        <f>IF(AND(E48&gt;0,E48&lt;66),0.01,ROUNDDOWN((E48-16)/50,0))</f>
        <v>0</v>
      </c>
      <c r="G48" s="9">
        <f>IF(AND(F48&gt;=1,F48&lt;=6),E48-F48*50-16,IF(F48=0.01,E48-16,IF(F48=0,0,IF(F48&gt;6,E48-316,0))))</f>
        <v>0</v>
      </c>
    </row>
    <row r="49" spans="1:7" ht="16.5">
      <c r="A49" s="10" t="s">
        <v>171</v>
      </c>
      <c r="B49" s="4">
        <f>VLOOKUP(A49,联盟DKP榜单!A$1:C$598,3,FALSE)-40*COUNTIF(扣分!A:A,A49)+IF(ISNA(VLOOKUP(A49,结余!A$1:B$600,2,0)),0,VLOOKUP(A49,结余!A$1:B$600,2,0))</f>
        <v>0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0</v>
      </c>
      <c r="F49" s="21">
        <f>IF(AND(E49&gt;0,E49&lt;66),0.01,ROUNDDOWN((E49-16)/50,0))</f>
        <v>0</v>
      </c>
      <c r="G49" s="9">
        <f>IF(AND(F49&gt;=1,F49&lt;=6),E49-F49*50-16,IF(F49=0.01,E49-16,IF(F49=0,0,IF(F49&gt;6,E49-316,0))))</f>
        <v>0</v>
      </c>
    </row>
    <row r="50" spans="1:7" ht="16.5">
      <c r="A50" s="10" t="s">
        <v>205</v>
      </c>
      <c r="B50" s="4">
        <f>VLOOKUP(A50,联盟DKP榜单!A$1:C$598,3,FALSE)-40*COUNTIF(扣分!A:A,A50)+IF(ISNA(VLOOKUP(A50,结余!A$1:B$600,2,0)),0,VLOOKUP(A50,结余!A$1:B$600,2,0))</f>
        <v>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0</v>
      </c>
      <c r="F50" s="21">
        <f>IF(AND(E50&gt;0,E50&lt;66),0.01,ROUNDDOWN((E50-16)/50,0))</f>
        <v>0</v>
      </c>
      <c r="G50" s="9">
        <f>IF(AND(F50&gt;=1,F50&lt;=6),E50-F50*50-16,IF(F50=0.01,E50-16,IF(F50=0,0,IF(F50&gt;6,E50-316,0))))</f>
        <v>0</v>
      </c>
    </row>
    <row r="51" spans="1:7" ht="16.5">
      <c r="A51" s="10" t="s">
        <v>593</v>
      </c>
      <c r="B51" s="4">
        <f>VLOOKUP(A51,联盟DKP榜单!A$1:C$598,3,FALSE)-40*COUNTIF(扣分!A:A,A51)+IF(ISNA(VLOOKUP(A51,结余!A$1:B$600,2,0)),0,VLOOKUP(A51,结余!A$1:B$600,2,0))</f>
        <v>0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0</v>
      </c>
      <c r="F51" s="21">
        <f>IF(AND(E51&gt;0,E51&lt;66),0.01,ROUNDDOWN((E51-16)/50,0))</f>
        <v>0</v>
      </c>
      <c r="G51" s="9">
        <f>IF(AND(F51&gt;=1,F51&lt;=6),E51-F51*50-16,IF(F51=0.01,E51-16,IF(F51=0,0,IF(F51&gt;6,E51-316,0))))</f>
        <v>0</v>
      </c>
    </row>
    <row r="52" spans="1:7" ht="16.5">
      <c r="A52" s="10" t="s">
        <v>204</v>
      </c>
      <c r="B52" s="4">
        <f>VLOOKUP(A52,联盟DKP榜单!A$1:C$598,3,FALSE)-40*COUNTIF(扣分!A:A,A52)+IF(ISNA(VLOOKUP(A52,结余!A$1:B$600,2,0)),0,VLOOKUP(A52,结余!A$1:B$600,2,0))</f>
        <v>0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0</v>
      </c>
      <c r="F52" s="21">
        <f>IF(AND(E52&gt;0,E52&lt;66),0.01,ROUNDDOWN((E52-16)/50,0))</f>
        <v>0</v>
      </c>
      <c r="G52" s="9">
        <f>IF(AND(F52&gt;=1,F52&lt;=6),E52-F52*50-16,IF(F52=0.01,E52-16,IF(F52=0,0,IF(F52&gt;6,E52-316,0))))</f>
        <v>0</v>
      </c>
    </row>
    <row r="53" spans="1:7" ht="16.5">
      <c r="A53" s="10" t="s">
        <v>203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0</v>
      </c>
      <c r="F53" s="21">
        <f>IF(AND(E53&gt;0,E53&lt;66),0.01,ROUNDDOWN((E53-16)/50,0))</f>
        <v>0</v>
      </c>
      <c r="G53" s="9">
        <f>IF(AND(F53&gt;=1,F53&lt;=6),E53-F53*50-16,IF(F53=0.01,E53-16,IF(F53=0,0,IF(F53&gt;6,E53-316,0))))</f>
        <v>0</v>
      </c>
    </row>
    <row r="54" spans="1:7" ht="16.5">
      <c r="A54" s="10" t="s">
        <v>121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0</v>
      </c>
      <c r="F54" s="21">
        <f>IF(AND(E54&gt;0,E54&lt;66),0.01,ROUNDDOWN((E54-16)/50,0))</f>
        <v>0</v>
      </c>
      <c r="G54" s="9">
        <f>IF(AND(F54&gt;=1,F54&lt;=6),E54-F54*50-16,IF(F54=0.01,E54-16,IF(F54=0,0,IF(F54&gt;6,E54-316,0))))</f>
        <v>0</v>
      </c>
    </row>
    <row r="55" spans="1:7" ht="16.5">
      <c r="A55" s="10" t="s">
        <v>202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122</v>
      </c>
      <c r="B56" s="4">
        <f>VLOOKUP(A56,联盟DKP榜单!A$1:C$598,3,FALSE)-40*COUNTIF(扣分!A:A,A56)+IF(ISNA(VLOOKUP(A56,结余!A$1:B$600,2,0)),0,VLOOKUP(A56,结余!A$1:B$600,2,0))</f>
        <v>-9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-9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201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595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200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466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199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596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198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197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195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194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168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167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166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150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165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598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209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208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207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607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206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401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608</v>
      </c>
      <c r="B79" s="4">
        <f>VLOOKUP(A79,联盟DKP榜单!A$1:C$598,3,FALSE)-40*COUNTIF(扣分!A:A,A79)+IF(ISNA(VLOOKUP(A79,结余!A$1:B$600,2,0)),0,VLOOKUP(A79,结余!A$1:B$600,2,0))</f>
        <v>-4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-4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145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187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185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355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183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497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349</v>
      </c>
      <c r="B86" s="4">
        <f>VLOOKUP(A86,联盟DKP榜单!A$1:C$598,3,FALSE)-40*COUNTIF(扣分!A:A,A86)+IF(ISNA(VLOOKUP(A86,结余!A$1:B$600,2,0)),0,VLOOKUP(A86,结余!A$1:B$600,2,0))</f>
        <v>-12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-12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182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181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180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179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609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178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177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398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498</v>
      </c>
      <c r="B95" s="4">
        <f>VLOOKUP(A95,联盟DKP榜单!A$1:C$598,3,FALSE)-40*COUNTIF(扣分!A:A,A95)+IF(ISNA(VLOOKUP(A95,结余!A$1:B$600,2,0)),0,VLOOKUP(A95,结余!A$1:B$600,2,0))</f>
        <v>-13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-13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176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611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175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174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172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170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612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164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162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161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160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613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614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159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158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157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155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154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616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153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152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151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193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427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190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143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486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189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188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617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8"/>
  <sheetViews>
    <sheetView workbookViewId="0">
      <selection activeCell="M24" sqref="M24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customWidth="1"/>
    <col min="7" max="7" width="5.28515625" style="9" customWidth="1"/>
    <col min="8" max="8" width="9.5703125" bestFit="1" customWidth="1"/>
    <col min="9" max="10" width="9.5703125" customWidth="1"/>
    <col min="11" max="11" width="9.5703125" bestFit="1" customWidth="1"/>
  </cols>
  <sheetData>
    <row r="1" spans="1:11" ht="15.75">
      <c r="A1" s="15" t="s">
        <v>5</v>
      </c>
      <c r="B1" s="16" t="s">
        <v>18</v>
      </c>
      <c r="C1" s="16" t="s">
        <v>9</v>
      </c>
      <c r="D1" s="16" t="s">
        <v>19</v>
      </c>
      <c r="E1" s="16" t="s">
        <v>6</v>
      </c>
      <c r="F1" s="16" t="s">
        <v>505</v>
      </c>
      <c r="G1" s="16" t="s">
        <v>477</v>
      </c>
      <c r="J1" s="19"/>
      <c r="K1" s="19"/>
    </row>
    <row r="2" spans="1:11" ht="17.25">
      <c r="A2" s="10" t="s">
        <v>512</v>
      </c>
      <c r="B2" s="4">
        <f>VLOOKUP(A2,联盟DKP榜单!A$1:C$598,3,FALSE)-40*COUNTIF(扣分!A:A,A2)+IF(ISNA(VLOOKUP(A2,结余!A$1:B$600,2,0)),0,VLOOKUP(A2,结余!A$1:B$600,2,0))</f>
        <v>184</v>
      </c>
      <c r="C2" s="21">
        <f>50*COUNTIF(帮战总榜!A$1:AB$150,$A2)+40*COUNTIF(掠夺!A$1:AB$150,$A2)</f>
        <v>230</v>
      </c>
      <c r="D2" s="21">
        <f>20*COUNTIF(YY统计!A$2:M$150,$A2)</f>
        <v>40</v>
      </c>
      <c r="E2" s="21">
        <f>SUM(B2:D2)</f>
        <v>454</v>
      </c>
      <c r="F2" s="21">
        <f>IF(AND(E2&gt;0,E2&lt;66),0.01,ROUNDDOWN((E2-16)/50,0))</f>
        <v>8</v>
      </c>
      <c r="G2" s="9">
        <f>IF(AND(F2&gt;=1,F2&lt;=6),E2-F2*50-16,IF(F2=0.01,E2-16,IF(F2=0,0,IF(F2&gt;6,E2-316,0))))</f>
        <v>138</v>
      </c>
      <c r="J2" s="19"/>
      <c r="K2" s="19"/>
    </row>
    <row r="3" spans="1:11" ht="16.5">
      <c r="A3" s="10" t="s">
        <v>444</v>
      </c>
      <c r="B3" s="4">
        <f>VLOOKUP(A3,联盟DKP榜单!A$1:C$598,3,FALSE)-40*COUNTIF(扣分!A:A,A3)+IF(ISNA(VLOOKUP(A3,结余!A$1:B$600,2,0)),0,VLOOKUP(A3,结余!A$1:B$600,2,0))</f>
        <v>164</v>
      </c>
      <c r="C3" s="21">
        <f>50*COUNTIF(帮战总榜!A$1:AB$150,$A3)+40*COUNTIF(掠夺!A$1:AB$150,$A3)</f>
        <v>230</v>
      </c>
      <c r="D3" s="21">
        <f>20*COUNTIF(YY统计!A$2:M$150,$A3)</f>
        <v>20</v>
      </c>
      <c r="E3" s="21">
        <f>SUM(B3:D3)</f>
        <v>414</v>
      </c>
      <c r="F3" s="21">
        <f>IF(AND(E3&gt;0,E3&lt;66),0.01,ROUNDDOWN((E3-16)/50,0))</f>
        <v>7</v>
      </c>
      <c r="G3" s="9">
        <f>IF(AND(F3&gt;=1,F3&lt;=6),E3-F3*50-16,IF(F3=0.01,E3-16,IF(F3=0,0,IF(F3&gt;6,E3-316,0))))</f>
        <v>98</v>
      </c>
    </row>
    <row r="4" spans="1:11" ht="16.5">
      <c r="A4" s="10" t="s">
        <v>410</v>
      </c>
      <c r="B4" s="4">
        <f>VLOOKUP(A4,联盟DKP榜单!A$1:C$598,3,FALSE)-40*COUNTIF(扣分!A:A,A4)+IF(ISNA(VLOOKUP(A4,结余!A$1:B$600,2,0)),0,VLOOKUP(A4,结余!A$1:B$600,2,0))</f>
        <v>141</v>
      </c>
      <c r="C4" s="21">
        <f>50*COUNTIF(帮战总榜!A$1:AB$150,$A4)+40*COUNTIF(掠夺!A$1:AB$150,$A4)</f>
        <v>230</v>
      </c>
      <c r="D4" s="21">
        <f>20*COUNTIF(YY统计!A$2:M$150,$A4)</f>
        <v>40</v>
      </c>
      <c r="E4" s="21">
        <f>SUM(B4:D4)</f>
        <v>411</v>
      </c>
      <c r="F4" s="21">
        <f>IF(AND(E4&gt;0,E4&lt;66),0.01,ROUNDDOWN((E4-16)/50,0))</f>
        <v>7</v>
      </c>
      <c r="G4" s="9">
        <f>IF(AND(F4&gt;=1,F4&lt;=6),E4-F4*50-16,IF(F4=0.01,E4-16,IF(F4=0,0,IF(F4&gt;6,E4-316,0))))</f>
        <v>95</v>
      </c>
    </row>
    <row r="5" spans="1:11" ht="16.5">
      <c r="A5" s="10" t="s">
        <v>274</v>
      </c>
      <c r="B5" s="4">
        <f>VLOOKUP(A5,联盟DKP榜单!A$1:C$598,3,FALSE)-40*COUNTIF(扣分!A:A,A5)+IF(ISNA(VLOOKUP(A5,结余!A$1:B$600,2,0)),0,VLOOKUP(A5,结余!A$1:B$600,2,0))</f>
        <v>138</v>
      </c>
      <c r="C5" s="21">
        <f>50*COUNTIF(帮战总榜!A$1:AB$150,$A5)+40*COUNTIF(掠夺!A$1:AB$150,$A5)</f>
        <v>230</v>
      </c>
      <c r="D5" s="21">
        <f>20*COUNTIF(YY统计!A$2:M$150,$A5)</f>
        <v>40</v>
      </c>
      <c r="E5" s="21">
        <f>SUM(B5:D5)</f>
        <v>408</v>
      </c>
      <c r="F5" s="21">
        <f>IF(AND(E5&gt;0,E5&lt;66),0.01,ROUNDDOWN((E5-16)/50,0))</f>
        <v>7</v>
      </c>
      <c r="G5" s="9">
        <f>IF(AND(F5&gt;=1,F5&lt;=6),E5-F5*50-16,IF(F5=0.01,E5-16,IF(F5=0,0,IF(F5&gt;6,E5-316,0))))</f>
        <v>92</v>
      </c>
    </row>
    <row r="6" spans="1:11" ht="16.5">
      <c r="A6" s="10" t="s">
        <v>523</v>
      </c>
      <c r="B6" s="4">
        <f>VLOOKUP(A6,联盟DKP榜单!A$1:C$598,3,FALSE)-40*COUNTIF(扣分!A:A,A6)+IF(ISNA(VLOOKUP(A6,结余!A$1:B$600,2,0)),0,VLOOKUP(A6,结余!A$1:B$600,2,0))</f>
        <v>127</v>
      </c>
      <c r="C6" s="21">
        <f>50*COUNTIF(帮战总榜!A$1:AB$150,$A6)+40*COUNTIF(掠夺!A$1:AB$150,$A6)</f>
        <v>230</v>
      </c>
      <c r="D6" s="21">
        <f>20*COUNTIF(YY统计!A$2:M$150,$A6)</f>
        <v>40</v>
      </c>
      <c r="E6" s="21">
        <f>SUM(B6:D6)</f>
        <v>397</v>
      </c>
      <c r="F6" s="21">
        <f>IF(AND(E6&gt;0,E6&lt;66),0.01,ROUNDDOWN((E6-16)/50,0))</f>
        <v>7</v>
      </c>
      <c r="G6" s="9">
        <f>IF(AND(F6&gt;=1,F6&lt;=6),E6-F6*50-16,IF(F6=0.01,E6-16,IF(F6=0,0,IF(F6&gt;6,E6-316,0))))</f>
        <v>81</v>
      </c>
    </row>
    <row r="7" spans="1:11" ht="16.5">
      <c r="A7" s="10" t="s">
        <v>292</v>
      </c>
      <c r="B7" s="4">
        <f>VLOOKUP(A7,联盟DKP榜单!A$1:C$598,3,FALSE)-40*COUNTIF(扣分!A:A,A7)+IF(ISNA(VLOOKUP(A7,结余!A$1:B$600,2,0)),0,VLOOKUP(A7,结余!A$1:B$600,2,0))</f>
        <v>174</v>
      </c>
      <c r="C7" s="21">
        <f>50*COUNTIF(帮战总榜!A$1:AB$150,$A7)+40*COUNTIF(掠夺!A$1:AB$150,$A7)</f>
        <v>170</v>
      </c>
      <c r="D7" s="21">
        <f>20*COUNTIF(YY统计!A$2:M$150,$A7)</f>
        <v>40</v>
      </c>
      <c r="E7" s="21">
        <f>SUM(B7:D7)</f>
        <v>384</v>
      </c>
      <c r="F7" s="21">
        <f>IF(AND(E7&gt;0,E7&lt;66),0.01,ROUNDDOWN((E7-16)/50,0))</f>
        <v>7</v>
      </c>
      <c r="G7" s="9">
        <f>IF(AND(F7&gt;=1,F7&lt;=6),E7-F7*50-16,IF(F7=0.01,E7-16,IF(F7=0,0,IF(F7&gt;6,E7-316,0))))</f>
        <v>68</v>
      </c>
    </row>
    <row r="8" spans="1:11" ht="16.5">
      <c r="A8" s="10" t="s">
        <v>346</v>
      </c>
      <c r="B8" s="4">
        <f>VLOOKUP(A8,联盟DKP榜单!A$1:C$598,3,FALSE)-40*COUNTIF(扣分!A:A,A8)+IF(ISNA(VLOOKUP(A8,结余!A$1:B$600,2,0)),0,VLOOKUP(A8,结余!A$1:B$600,2,0))</f>
        <v>143</v>
      </c>
      <c r="C8" s="21">
        <f>50*COUNTIF(帮战总榜!A$1:AB$150,$A8)+40*COUNTIF(掠夺!A$1:AB$150,$A8)</f>
        <v>180</v>
      </c>
      <c r="D8" s="21">
        <f>20*COUNTIF(YY统计!A$2:M$150,$A8)</f>
        <v>40</v>
      </c>
      <c r="E8" s="21">
        <f>SUM(B8:D8)</f>
        <v>363</v>
      </c>
      <c r="F8" s="21">
        <f>IF(AND(E8&gt;0,E8&lt;66),0.01,ROUNDDOWN((E8-16)/50,0))</f>
        <v>6</v>
      </c>
      <c r="G8" s="9">
        <f>IF(AND(F8&gt;=1,F8&lt;=6),E8-F8*50-16,IF(F8=0.01,E8-16,IF(F8=0,0,IF(F8&gt;6,E8-316,0))))</f>
        <v>47</v>
      </c>
    </row>
    <row r="9" spans="1:11" ht="16.5">
      <c r="A9" s="10" t="s">
        <v>287</v>
      </c>
      <c r="B9" s="4">
        <f>VLOOKUP(A9,联盟DKP榜单!A$1:C$598,3,FALSE)-40*COUNTIF(扣分!A:A,A9)+IF(ISNA(VLOOKUP(A9,结余!A$1:B$600,2,0)),0,VLOOKUP(A9,结余!A$1:B$600,2,0))</f>
        <v>174</v>
      </c>
      <c r="C9" s="21">
        <f>50*COUNTIF(帮战总榜!A$1:AB$150,$A9)+40*COUNTIF(掠夺!A$1:AB$150,$A9)</f>
        <v>150</v>
      </c>
      <c r="D9" s="21">
        <f>20*COUNTIF(YY统计!A$2:M$150,$A9)</f>
        <v>0</v>
      </c>
      <c r="E9" s="21">
        <f>SUM(B9:D9)</f>
        <v>324</v>
      </c>
      <c r="F9" s="21">
        <f>IF(AND(E9&gt;0,E9&lt;66),0.01,ROUNDDOWN((E9-16)/50,0))</f>
        <v>6</v>
      </c>
      <c r="G9" s="9">
        <f>IF(AND(F9&gt;=1,F9&lt;=6),E9-F9*50-16,IF(F9=0.01,E9-16,IF(F9=0,0,IF(F9&gt;6,E9-316,0))))</f>
        <v>8</v>
      </c>
    </row>
    <row r="10" spans="1:11" ht="16.5">
      <c r="A10" s="10" t="s">
        <v>480</v>
      </c>
      <c r="B10" s="4">
        <f>VLOOKUP(A10,联盟DKP榜单!A$1:C$598,3,FALSE)-40*COUNTIF(扣分!A:A,A10)+IF(ISNA(VLOOKUP(A10,结余!A$1:B$600,2,0)),0,VLOOKUP(A10,结余!A$1:B$600,2,0))</f>
        <v>119</v>
      </c>
      <c r="C10" s="21">
        <f>50*COUNTIF(帮战总榜!A$1:AB$150,$A10)+40*COUNTIF(掠夺!A$1:AB$150,$A10)</f>
        <v>180</v>
      </c>
      <c r="D10" s="21">
        <f>20*COUNTIF(YY统计!A$2:M$150,$A10)</f>
        <v>20</v>
      </c>
      <c r="E10" s="21">
        <f>SUM(B10:D10)</f>
        <v>319</v>
      </c>
      <c r="F10" s="21">
        <f>IF(AND(E10&gt;0,E10&lt;66),0.01,ROUNDDOWN((E10-16)/50,0))</f>
        <v>6</v>
      </c>
      <c r="G10" s="9">
        <f>IF(AND(F10&gt;=1,F10&lt;=6),E10-F10*50-16,IF(F10=0.01,E10-16,IF(F10=0,0,IF(F10&gt;6,E10-316,0))))</f>
        <v>3</v>
      </c>
    </row>
    <row r="11" spans="1:11" ht="16.5">
      <c r="A11" s="10" t="s">
        <v>280</v>
      </c>
      <c r="B11" s="4">
        <f>VLOOKUP(A11,联盟DKP榜单!A$1:C$598,3,FALSE)-40*COUNTIF(扣分!A:A,A11)+IF(ISNA(VLOOKUP(A11,结余!A$1:B$600,2,0)),0,VLOOKUP(A11,结余!A$1:B$600,2,0))</f>
        <v>149</v>
      </c>
      <c r="C11" s="21">
        <f>50*COUNTIF(帮战总榜!A$1:AB$150,$A11)+40*COUNTIF(掠夺!A$1:AB$150,$A11)</f>
        <v>150</v>
      </c>
      <c r="D11" s="21">
        <f>20*COUNTIF(YY统计!A$2:M$150,$A11)</f>
        <v>20</v>
      </c>
      <c r="E11" s="21">
        <f>SUM(B11:D11)</f>
        <v>319</v>
      </c>
      <c r="F11" s="21">
        <f>IF(AND(E11&gt;0,E11&lt;66),0.01,ROUNDDOWN((E11-16)/50,0))</f>
        <v>6</v>
      </c>
      <c r="G11" s="9">
        <f>IF(AND(F11&gt;=1,F11&lt;=6),E11-F11*50-16,IF(F11=0.01,E11-16,IF(F11=0,0,IF(F11&gt;6,E11-316,0))))</f>
        <v>3</v>
      </c>
    </row>
    <row r="12" spans="1:11" ht="16.5">
      <c r="A12" s="10" t="s">
        <v>557</v>
      </c>
      <c r="B12" s="4">
        <f>VLOOKUP(A12,联盟DKP榜单!A$1:C$598,3,FALSE)-40*COUNTIF(扣分!A:A,A12)+IF(ISNA(VLOOKUP(A12,结余!A$1:B$600,2,0)),0,VLOOKUP(A12,结余!A$1:B$600,2,0))</f>
        <v>40</v>
      </c>
      <c r="C12" s="21">
        <f>50*COUNTIF(帮战总榜!A$1:AB$150,$A12)+40*COUNTIF(掠夺!A$1:AB$150,$A12)</f>
        <v>180</v>
      </c>
      <c r="D12" s="21">
        <f>20*COUNTIF(YY统计!A$2:M$150,$A12)</f>
        <v>0</v>
      </c>
      <c r="E12" s="21">
        <f>SUM(B12:D12)</f>
        <v>220</v>
      </c>
      <c r="F12" s="21">
        <f>IF(AND(E12&gt;0,E12&lt;66),0.01,ROUNDDOWN((E12-16)/50,0))</f>
        <v>4</v>
      </c>
      <c r="G12" s="9">
        <f>IF(AND(F12&gt;=1,F12&lt;=6),E12-F12*50-16,IF(F12=0.01,E12-16,IF(F12=0,0,IF(F12&gt;6,E12-316,0))))</f>
        <v>4</v>
      </c>
    </row>
    <row r="13" spans="1:11" ht="16.5">
      <c r="A13" s="10" t="s">
        <v>272</v>
      </c>
      <c r="B13" s="4">
        <f>VLOOKUP(A13,联盟DKP榜单!A$1:C$598,3,FALSE)-40*COUNTIF(扣分!A:A,A13)+IF(ISNA(VLOOKUP(A13,结余!A$1:B$600,2,0)),0,VLOOKUP(A13,结余!A$1:B$600,2,0))</f>
        <v>120</v>
      </c>
      <c r="C13" s="21">
        <f>50*COUNTIF(帮战总榜!A$1:AB$150,$A13)+40*COUNTIF(掠夺!A$1:AB$150,$A13)</f>
        <v>130</v>
      </c>
      <c r="D13" s="21">
        <f>20*COUNTIF(YY统计!A$2:M$150,$A13)</f>
        <v>40</v>
      </c>
      <c r="E13" s="21">
        <f>SUM(B13:D13)</f>
        <v>290</v>
      </c>
      <c r="F13" s="21">
        <f>IF(AND(E13&gt;0,E13&lt;66),0.01,ROUNDDOWN((E13-16)/50,0))</f>
        <v>5</v>
      </c>
      <c r="G13" s="9">
        <f>IF(AND(F13&gt;=1,F13&lt;=6),E13-F13*50-16,IF(F13=0.01,E13-16,IF(F13=0,0,IF(F13&gt;6,E13-316,0))))</f>
        <v>24</v>
      </c>
    </row>
    <row r="14" spans="1:11" ht="16.5">
      <c r="A14" s="10" t="s">
        <v>276</v>
      </c>
      <c r="B14" s="4">
        <f>VLOOKUP(A14,联盟DKP榜单!A$1:C$598,3,FALSE)-40*COUNTIF(扣分!A:A,A14)+IF(ISNA(VLOOKUP(A14,结余!A$1:B$600,2,0)),0,VLOOKUP(A14,结余!A$1:B$600,2,0))</f>
        <v>107</v>
      </c>
      <c r="C14" s="21">
        <f>50*COUNTIF(帮战总榜!A$1:AB$150,$A14)+40*COUNTIF(掠夺!A$1:AB$150,$A14)</f>
        <v>130</v>
      </c>
      <c r="D14" s="21">
        <f>20*COUNTIF(YY统计!A$2:M$150,$A14)</f>
        <v>20</v>
      </c>
      <c r="E14" s="21">
        <f>SUM(B14:D14)</f>
        <v>257</v>
      </c>
      <c r="F14" s="21">
        <f>IF(AND(E14&gt;0,E14&lt;66),0.01,ROUNDDOWN((E14-16)/50,0))</f>
        <v>4</v>
      </c>
      <c r="G14" s="9">
        <f>IF(AND(F14&gt;=1,F14&lt;=6),E14-F14*50-16,IF(F14=0.01,E14-16,IF(F14=0,0,IF(F14&gt;6,E14-316,0))))</f>
        <v>41</v>
      </c>
    </row>
    <row r="15" spans="1:11" ht="16.5">
      <c r="A15" s="10" t="s">
        <v>43</v>
      </c>
      <c r="B15" s="4">
        <f>VLOOKUP(A15,联盟DKP榜单!A$1:C$598,3,FALSE)-40*COUNTIF(扣分!A:A,A15)+IF(ISNA(VLOOKUP(A15,结余!A$1:B$600,2,0)),0,VLOOKUP(A15,结余!A$1:B$600,2,0))</f>
        <v>99</v>
      </c>
      <c r="C15" s="21">
        <f>50*COUNTIF(帮战总榜!A$1:AB$150,$A15)+40*COUNTIF(掠夺!A$1:AB$150,$A15)</f>
        <v>150</v>
      </c>
      <c r="D15" s="21">
        <f>20*COUNTIF(YY统计!A$2:M$150,$A15)</f>
        <v>0</v>
      </c>
      <c r="E15" s="21">
        <f>SUM(B15:D15)</f>
        <v>249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33</v>
      </c>
    </row>
    <row r="16" spans="1:11" ht="16.5">
      <c r="A16" s="10" t="s">
        <v>273</v>
      </c>
      <c r="B16" s="4">
        <f>VLOOKUP(A16,联盟DKP榜单!A$1:C$598,3,FALSE)-40*COUNTIF(扣分!A:A,A16)+IF(ISNA(VLOOKUP(A16,结余!A$1:B$600,2,0)),0,VLOOKUP(A16,结余!A$1:B$600,2,0))</f>
        <v>89</v>
      </c>
      <c r="C16" s="21">
        <f>50*COUNTIF(帮战总榜!A$1:AB$150,$A16)+40*COUNTIF(掠夺!A$1:AB$150,$A16)</f>
        <v>130</v>
      </c>
      <c r="D16" s="21">
        <f>20*COUNTIF(YY统计!A$2:M$150,$A16)</f>
        <v>20</v>
      </c>
      <c r="E16" s="21">
        <f>SUM(B16:D16)</f>
        <v>239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23</v>
      </c>
    </row>
    <row r="17" spans="1:7" ht="16.5">
      <c r="A17" s="10" t="s">
        <v>283</v>
      </c>
      <c r="B17" s="4">
        <f>VLOOKUP(A17,联盟DKP榜单!A$1:C$598,3,FALSE)-40*COUNTIF(扣分!A:A,A17)+IF(ISNA(VLOOKUP(A17,结余!A$1:B$600,2,0)),0,VLOOKUP(A17,结余!A$1:B$600,2,0))</f>
        <v>118</v>
      </c>
      <c r="C17" s="21">
        <f>50*COUNTIF(帮战总榜!A$1:AB$150,$A17)+40*COUNTIF(掠夺!A$1:AB$150,$A17)</f>
        <v>100</v>
      </c>
      <c r="D17" s="21">
        <f>20*COUNTIF(YY统计!A$2:M$150,$A17)</f>
        <v>0</v>
      </c>
      <c r="E17" s="21">
        <f>SUM(B17:D17)</f>
        <v>218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2</v>
      </c>
    </row>
    <row r="18" spans="1:7" ht="16.5">
      <c r="A18" s="10" t="s">
        <v>462</v>
      </c>
      <c r="B18" s="4">
        <f>VLOOKUP(A18,联盟DKP榜单!A$1:C$598,3,FALSE)-40*COUNTIF(扣分!A:A,A18)+IF(ISNA(VLOOKUP(A18,结余!A$1:B$600,2,0)),0,VLOOKUP(A18,结余!A$1:B$600,2,0))</f>
        <v>70</v>
      </c>
      <c r="C18" s="21">
        <f>50*COUNTIF(帮战总榜!A$1:AB$150,$A18)+40*COUNTIF(掠夺!A$1:AB$150,$A18)</f>
        <v>140</v>
      </c>
      <c r="D18" s="21">
        <f>20*COUNTIF(YY统计!A$2:M$150,$A18)</f>
        <v>0</v>
      </c>
      <c r="E18" s="21">
        <f>SUM(B18:D18)</f>
        <v>210</v>
      </c>
      <c r="F18" s="21">
        <f>IF(AND(E18&gt;0,E18&lt;66),0.01,ROUNDDOWN((E18-16)/50,0))</f>
        <v>3</v>
      </c>
      <c r="G18" s="9">
        <f>IF(AND(F18&gt;=1,F18&lt;=6),E18-F18*50-16,IF(F18=0.01,E18-16,IF(F18=0,0,IF(F18&gt;6,E18-316,0))))</f>
        <v>44</v>
      </c>
    </row>
    <row r="19" spans="1:7" ht="16.5">
      <c r="A19" s="10" t="s">
        <v>428</v>
      </c>
      <c r="B19" s="4">
        <f>VLOOKUP(A19,联盟DKP榜单!A$1:C$598,3,FALSE)-40*COUNTIF(扣分!A:A,A19)+IF(ISNA(VLOOKUP(A19,结余!A$1:B$600,2,0)),0,VLOOKUP(A19,结余!A$1:B$600,2,0))</f>
        <v>122</v>
      </c>
      <c r="C19" s="21">
        <f>50*COUNTIF(帮战总榜!A$1:AB$150,$A19)+40*COUNTIF(掠夺!A$1:AB$150,$A19)</f>
        <v>90</v>
      </c>
      <c r="D19" s="21">
        <f>20*COUNTIF(YY统计!A$2:M$150,$A19)</f>
        <v>0</v>
      </c>
      <c r="E19" s="21">
        <f>SUM(B19:D19)</f>
        <v>212</v>
      </c>
      <c r="F19" s="21">
        <f>IF(AND(E19&gt;0,E19&lt;66),0.01,ROUNDDOWN((E19-16)/50,0))</f>
        <v>3</v>
      </c>
      <c r="G19" s="9">
        <f>IF(AND(F19&gt;=1,F19&lt;=6),E19-F19*50-16,IF(F19=0.01,E19-16,IF(F19=0,0,IF(F19&gt;6,E19-316,0))))</f>
        <v>46</v>
      </c>
    </row>
    <row r="20" spans="1:7" ht="16.5">
      <c r="A20" s="10" t="s">
        <v>358</v>
      </c>
      <c r="B20" s="4">
        <f>VLOOKUP(A20,联盟DKP榜单!A$1:C$598,3,FALSE)-40*COUNTIF(扣分!A:A,A20)+IF(ISNA(VLOOKUP(A20,结余!A$1:B$600,2,0)),0,VLOOKUP(A20,结余!A$1:B$600,2,0))</f>
        <v>96</v>
      </c>
      <c r="C20" s="21">
        <f>50*COUNTIF(帮战总榜!A$1:AB$150,$A20)+40*COUNTIF(掠夺!A$1:AB$150,$A20)</f>
        <v>100</v>
      </c>
      <c r="D20" s="21">
        <f>20*COUNTIF(YY统计!A$2:M$150,$A20)</f>
        <v>20</v>
      </c>
      <c r="E20" s="21">
        <f>SUM(B20:D20)</f>
        <v>216</v>
      </c>
      <c r="F20" s="21">
        <f>IF(AND(E20&gt;0,E20&lt;66),0.01,ROUNDDOWN((E20-16)/50,0))</f>
        <v>4</v>
      </c>
      <c r="G20" s="9">
        <f>IF(AND(F20&gt;=1,F20&lt;=6),E20-F20*50-16,IF(F20=0.01,E20-16,IF(F20=0,0,IF(F20&gt;6,E20-316,0))))</f>
        <v>0</v>
      </c>
    </row>
    <row r="21" spans="1:7" ht="16.5">
      <c r="A21" s="10" t="s">
        <v>370</v>
      </c>
      <c r="B21" s="4">
        <f>VLOOKUP(A21,联盟DKP榜单!A$1:C$598,3,FALSE)-40*COUNTIF(扣分!A:A,A21)+IF(ISNA(VLOOKUP(A21,结余!A$1:B$600,2,0)),0,VLOOKUP(A21,结余!A$1:B$600,2,0))</f>
        <v>65</v>
      </c>
      <c r="C21" s="21">
        <f>50*COUNTIF(帮战总榜!A$1:AB$150,$A21)+40*COUNTIF(掠夺!A$1:AB$150,$A21)</f>
        <v>100</v>
      </c>
      <c r="D21" s="21">
        <f>20*COUNTIF(YY统计!A$2:M$150,$A21)</f>
        <v>0</v>
      </c>
      <c r="E21" s="21">
        <f>SUM(B21:D21)</f>
        <v>165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49</v>
      </c>
    </row>
    <row r="22" spans="1:7" ht="16.5">
      <c r="A22" s="10" t="s">
        <v>306</v>
      </c>
      <c r="B22" s="4">
        <f>VLOOKUP(A22,联盟DKP榜单!A$1:C$598,3,FALSE)-40*COUNTIF(扣分!A:A,A22)+IF(ISNA(VLOOKUP(A22,结余!A$1:B$600,2,0)),0,VLOOKUP(A22,结余!A$1:B$600,2,0))</f>
        <v>40</v>
      </c>
      <c r="C22" s="21">
        <f>50*COUNTIF(帮战总榜!A$1:AB$150,$A22)+40*COUNTIF(掠夺!A$1:AB$150,$A22)</f>
        <v>100</v>
      </c>
      <c r="D22" s="21">
        <f>20*COUNTIF(YY统计!A$2:M$150,$A22)</f>
        <v>0</v>
      </c>
      <c r="E22" s="21">
        <f>SUM(B22:D22)</f>
        <v>140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24</v>
      </c>
    </row>
    <row r="23" spans="1:7" ht="16.5">
      <c r="A23" s="10" t="s">
        <v>285</v>
      </c>
      <c r="B23" s="4">
        <f>VLOOKUP(A23,联盟DKP榜单!A$1:C$598,3,FALSE)-40*COUNTIF(扣分!A:A,A23)+IF(ISNA(VLOOKUP(A23,结余!A$1:B$600,2,0)),0,VLOOKUP(A23,结余!A$1:B$600,2,0))</f>
        <v>40</v>
      </c>
      <c r="C23" s="21">
        <f>50*COUNTIF(帮战总榜!A$1:AB$150,$A23)+40*COUNTIF(掠夺!A$1:AB$150,$A23)</f>
        <v>100</v>
      </c>
      <c r="D23" s="21">
        <f>20*COUNTIF(YY统计!A$2:M$150,$A23)</f>
        <v>0</v>
      </c>
      <c r="E23" s="21">
        <f>SUM(B23:D23)</f>
        <v>140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24</v>
      </c>
    </row>
    <row r="24" spans="1:7" ht="16.5">
      <c r="A24" s="10" t="s">
        <v>270</v>
      </c>
      <c r="B24" s="4">
        <f>VLOOKUP(A24,联盟DKP榜单!A$1:C$598,3,FALSE)-40*COUNTIF(扣分!A:A,A24)+IF(ISNA(VLOOKUP(A24,结余!A$1:B$600,2,0)),0,VLOOKUP(A24,结余!A$1:B$600,2,0))</f>
        <v>40</v>
      </c>
      <c r="C24" s="21">
        <f>50*COUNTIF(帮战总榜!A$1:AB$150,$A24)+40*COUNTIF(掠夺!A$1:AB$150,$A24)</f>
        <v>100</v>
      </c>
      <c r="D24" s="21">
        <f>20*COUNTIF(YY统计!A$2:M$150,$A24)</f>
        <v>0</v>
      </c>
      <c r="E24" s="21">
        <f>SUM(B24:D24)</f>
        <v>140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24</v>
      </c>
    </row>
    <row r="25" spans="1:7" ht="16.5">
      <c r="A25" s="10" t="s">
        <v>296</v>
      </c>
      <c r="B25" s="4">
        <f>VLOOKUP(A25,联盟DKP榜单!A$1:C$598,3,FALSE)-40*COUNTIF(扣分!A:A,A25)+IF(ISNA(VLOOKUP(A25,结余!A$1:B$600,2,0)),0,VLOOKUP(A25,结余!A$1:B$600,2,0))</f>
        <v>40</v>
      </c>
      <c r="C25" s="21">
        <f>50*COUNTIF(帮战总榜!A$1:AB$150,$A25)+40*COUNTIF(掠夺!A$1:AB$150,$A25)</f>
        <v>100</v>
      </c>
      <c r="D25" s="21">
        <f>20*COUNTIF(YY统计!A$2:M$150,$A25)</f>
        <v>0</v>
      </c>
      <c r="E25" s="21">
        <f>SUM(B25:D25)</f>
        <v>140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24</v>
      </c>
    </row>
    <row r="26" spans="1:7" ht="16.5">
      <c r="A26" s="10" t="s">
        <v>567</v>
      </c>
      <c r="B26" s="4">
        <f>VLOOKUP(A26,联盟DKP榜单!A$1:C$598,3,FALSE)-40*COUNTIF(扣分!A:A,A26)+IF(ISNA(VLOOKUP(A26,结余!A$1:B$600,2,0)),0,VLOOKUP(A26,结余!A$1:B$600,2,0))</f>
        <v>40</v>
      </c>
      <c r="C26" s="21">
        <f>50*COUNTIF(帮战总榜!A$1:AB$150,$A26)+40*COUNTIF(掠夺!A$1:AB$150,$A26)</f>
        <v>100</v>
      </c>
      <c r="D26" s="21">
        <f>20*COUNTIF(YY统计!A$2:M$150,$A26)</f>
        <v>0</v>
      </c>
      <c r="E26" s="21">
        <f>SUM(B26:D26)</f>
        <v>140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24</v>
      </c>
    </row>
    <row r="27" spans="1:7" ht="16.5">
      <c r="A27" s="10" t="s">
        <v>284</v>
      </c>
      <c r="B27" s="4">
        <f>VLOOKUP(A27,联盟DKP榜单!A$1:C$598,3,FALSE)-40*COUNTIF(扣分!A:A,A27)+IF(ISNA(VLOOKUP(A27,结余!A$1:B$600,2,0)),0,VLOOKUP(A27,结余!A$1:B$600,2,0))</f>
        <v>108</v>
      </c>
      <c r="C27" s="21">
        <f>50*COUNTIF(帮战总榜!A$1:AB$150,$A27)+40*COUNTIF(掠夺!A$1:AB$150,$A27)</f>
        <v>50</v>
      </c>
      <c r="D27" s="21">
        <f>20*COUNTIF(YY统计!A$2:M$150,$A27)</f>
        <v>20</v>
      </c>
      <c r="E27" s="21">
        <f>SUM(B27:D27)</f>
        <v>178</v>
      </c>
      <c r="F27" s="21">
        <f>IF(AND(E27&gt;0,E27&lt;66),0.01,ROUNDDOWN((E27-16)/50,0))</f>
        <v>3</v>
      </c>
      <c r="G27" s="9">
        <f>IF(AND(F27&gt;=1,F27&lt;=6),E27-F27*50-16,IF(F27=0.01,E27-16,IF(F27=0,0,IF(F27&gt;6,E27-316,0))))</f>
        <v>12</v>
      </c>
    </row>
    <row r="28" spans="1:7" ht="16.5">
      <c r="A28" s="10" t="s">
        <v>279</v>
      </c>
      <c r="B28" s="4">
        <f>VLOOKUP(A28,联盟DKP榜单!A$1:C$598,3,FALSE)-40*COUNTIF(扣分!A:A,A28)+IF(ISNA(VLOOKUP(A28,结余!A$1:B$600,2,0)),0,VLOOKUP(A28,结余!A$1:B$600,2,0))</f>
        <v>107</v>
      </c>
      <c r="C28" s="21">
        <f>50*COUNTIF(帮战总榜!A$1:AB$150,$A28)+40*COUNTIF(掠夺!A$1:AB$150,$A28)</f>
        <v>50</v>
      </c>
      <c r="D28" s="21">
        <f>20*COUNTIF(YY统计!A$2:M$150,$A28)</f>
        <v>0</v>
      </c>
      <c r="E28" s="21">
        <f>SUM(B28:D28)</f>
        <v>157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41</v>
      </c>
    </row>
    <row r="29" spans="1:7" ht="16.5">
      <c r="A29" s="10" t="s">
        <v>278</v>
      </c>
      <c r="B29" s="4">
        <f>VLOOKUP(A29,联盟DKP榜单!A$1:C$598,3,FALSE)-40*COUNTIF(扣分!A:A,A29)+IF(ISNA(VLOOKUP(A29,结余!A$1:B$600,2,0)),0,VLOOKUP(A29,结余!A$1:B$600,2,0))</f>
        <v>78</v>
      </c>
      <c r="C29" s="21">
        <f>50*COUNTIF(帮战总榜!A$1:AB$150,$A29)+40*COUNTIF(掠夺!A$1:AB$150,$A29)</f>
        <v>40</v>
      </c>
      <c r="D29" s="21">
        <f>20*COUNTIF(YY统计!A$2:M$150,$A29)</f>
        <v>20</v>
      </c>
      <c r="E29" s="21">
        <f>SUM(B29:D29)</f>
        <v>138</v>
      </c>
      <c r="F29" s="21">
        <f>IF(AND(E29&gt;0,E29&lt;66),0.01,ROUNDDOWN((E29-16)/50,0))</f>
        <v>2</v>
      </c>
      <c r="G29" s="9">
        <f>IF(AND(F29&gt;=1,F29&lt;=6),E29-F29*50-16,IF(F29=0.01,E29-16,IF(F29=0,0,IF(F29&gt;6,E29-316,0))))</f>
        <v>22</v>
      </c>
    </row>
    <row r="30" spans="1:7" ht="16.5">
      <c r="A30" s="10" t="s">
        <v>507</v>
      </c>
      <c r="B30" s="4">
        <f>VLOOKUP(A30,联盟DKP榜单!A$1:C$598,3,FALSE)-40*COUNTIF(扣分!A:A,A30)+IF(ISNA(VLOOKUP(A30,结余!A$1:B$600,2,0)),0,VLOOKUP(A30,结余!A$1:B$600,2,0))</f>
        <v>75</v>
      </c>
      <c r="C30" s="21">
        <f>50*COUNTIF(帮战总榜!A$1:AB$150,$A30)+40*COUNTIF(掠夺!A$1:AB$150,$A30)</f>
        <v>40</v>
      </c>
      <c r="D30" s="21">
        <f>20*COUNTIF(YY统计!A$2:M$150,$A30)</f>
        <v>0</v>
      </c>
      <c r="E30" s="21">
        <f>SUM(B30:D30)</f>
        <v>115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49</v>
      </c>
    </row>
    <row r="31" spans="1:7" ht="16.5">
      <c r="A31" s="10" t="s">
        <v>357</v>
      </c>
      <c r="B31" s="4">
        <f>VLOOKUP(A31,联盟DKP榜单!A$1:C$598,3,FALSE)-40*COUNTIF(扣分!A:A,A31)+IF(ISNA(VLOOKUP(A31,结余!A$1:B$600,2,0)),0,VLOOKUP(A31,结余!A$1:B$600,2,0))</f>
        <v>64</v>
      </c>
      <c r="C31" s="21">
        <f>50*COUNTIF(帮战总榜!A$1:AB$150,$A31)+40*COUNTIF(掠夺!A$1:AB$150,$A31)</f>
        <v>40</v>
      </c>
      <c r="D31" s="21">
        <f>20*COUNTIF(YY统计!A$2:M$150,$A31)</f>
        <v>20</v>
      </c>
      <c r="E31" s="21">
        <f>SUM(B31:D31)</f>
        <v>124</v>
      </c>
      <c r="F31" s="21">
        <f>IF(AND(E31&gt;0,E31&lt;66),0.01,ROUNDDOWN((E31-16)/50,0))</f>
        <v>2</v>
      </c>
      <c r="G31" s="9">
        <f>IF(AND(F31&gt;=1,F31&lt;=6),E31-F31*50-16,IF(F31=0.01,E31-16,IF(F31=0,0,IF(F31&gt;6,E31-316,0))))</f>
        <v>8</v>
      </c>
    </row>
    <row r="32" spans="1:7" ht="16.5">
      <c r="A32" s="10" t="s">
        <v>459</v>
      </c>
      <c r="B32" s="4">
        <f>VLOOKUP(A32,联盟DKP榜单!A$1:C$598,3,FALSE)-40*COUNTIF(扣分!A:A,A32)+IF(ISNA(VLOOKUP(A32,结余!A$1:B$600,2,0)),0,VLOOKUP(A32,结余!A$1:B$600,2,0))</f>
        <v>40</v>
      </c>
      <c r="C32" s="21">
        <f>50*COUNTIF(帮战总榜!A$1:AB$150,$A32)+40*COUNTIF(掠夺!A$1:AB$150,$A32)</f>
        <v>50</v>
      </c>
      <c r="D32" s="21">
        <f>20*COUNTIF(YY统计!A$2:M$150,$A32)</f>
        <v>0</v>
      </c>
      <c r="E32" s="21">
        <f>SUM(B32:D32)</f>
        <v>90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24</v>
      </c>
    </row>
    <row r="33" spans="1:7" ht="16.5">
      <c r="A33" s="10" t="s">
        <v>342</v>
      </c>
      <c r="B33" s="4">
        <f>VLOOKUP(A33,联盟DKP榜单!A$1:C$598,3,FALSE)-40*COUNTIF(扣分!A:A,A33)+IF(ISNA(VLOOKUP(A33,结余!A$1:B$600,2,0)),0,VLOOKUP(A33,结余!A$1:B$600,2,0))</f>
        <v>81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81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15</v>
      </c>
    </row>
    <row r="34" spans="1:7" ht="16.5">
      <c r="A34" s="10" t="s">
        <v>359</v>
      </c>
      <c r="B34" s="4">
        <f>VLOOKUP(A34,联盟DKP榜单!A$1:C$598,3,FALSE)-40*COUNTIF(扣分!A:A,A34)+IF(ISNA(VLOOKUP(A34,结余!A$1:B$600,2,0)),0,VLOOKUP(A34,结余!A$1:B$600,2,0))</f>
        <v>6</v>
      </c>
      <c r="C34" s="21">
        <f>50*COUNTIF(帮战总榜!A$1:AB$150,$A34)+40*COUNTIF(掠夺!A$1:AB$150,$A34)</f>
        <v>40</v>
      </c>
      <c r="D34" s="21">
        <f>20*COUNTIF(YY统计!A$2:M$150,$A34)</f>
        <v>0</v>
      </c>
      <c r="E34" s="21">
        <f>SUM(B34:D34)</f>
        <v>46</v>
      </c>
      <c r="F34" s="21">
        <f>IF(AND(E34&gt;0,E34&lt;66),0.01,ROUNDDOWN((E34-16)/50,0))</f>
        <v>0.01</v>
      </c>
      <c r="G34" s="9">
        <f>IF(AND(F34&gt;=1,F34&lt;=6),E34-F34*50-16,IF(F34=0.01,E34-16,IF(F34=0,0,IF(F34&gt;6,E34-316,0))))</f>
        <v>30</v>
      </c>
    </row>
    <row r="35" spans="1:7" ht="16.5">
      <c r="A35" s="10" t="s">
        <v>361</v>
      </c>
      <c r="B35" s="4">
        <f>VLOOKUP(A35,联盟DKP榜单!A$1:C$598,3,FALSE)-40*COUNTIF(扣分!A:A,A35)+IF(ISNA(VLOOKUP(A35,结余!A$1:B$600,2,0)),0,VLOOKUP(A35,结余!A$1:B$600,2,0))</f>
        <v>41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41</v>
      </c>
      <c r="F35" s="21">
        <f>IF(AND(E35&gt;0,E35&lt;66),0.01,ROUNDDOWN((E35-16)/50,0))</f>
        <v>0.01</v>
      </c>
      <c r="G35" s="9">
        <f>IF(AND(F35&gt;=1,F35&lt;=6),E35-F35*50-16,IF(F35=0.01,E35-16,IF(F35=0,0,IF(F35&gt;6,E35-316,0))))</f>
        <v>25</v>
      </c>
    </row>
    <row r="36" spans="1:7" ht="16.5">
      <c r="A36" s="10" t="s">
        <v>281</v>
      </c>
      <c r="B36" s="4">
        <f>VLOOKUP(A36,联盟DKP榜单!A$1:C$598,3,FALSE)-40*COUNTIF(扣分!A:A,A36)+IF(ISNA(VLOOKUP(A36,结余!A$1:B$600,2,0)),0,VLOOKUP(A36,结余!A$1:B$600,2,0))</f>
        <v>40</v>
      </c>
      <c r="C36" s="21">
        <f>50*COUNTIF(帮战总榜!A$1:AB$150,$A36)+40*COUNTIF(掠夺!A$1:AB$150,$A36)</f>
        <v>0</v>
      </c>
      <c r="D36" s="21">
        <f>20*COUNTIF(YY统计!A$2:M$150,$A36)</f>
        <v>20</v>
      </c>
      <c r="E36" s="21">
        <f>SUM(B36:D36)</f>
        <v>60</v>
      </c>
      <c r="F36" s="21">
        <f>IF(AND(E36&gt;0,E36&lt;66),0.01,ROUNDDOWN((E36-16)/50,0))</f>
        <v>0.01</v>
      </c>
      <c r="G36" s="9">
        <f>IF(AND(F36&gt;=1,F36&lt;=6),E36-F36*50-16,IF(F36=0.01,E36-16,IF(F36=0,0,IF(F36&gt;6,E36-316,0))))</f>
        <v>44</v>
      </c>
    </row>
    <row r="37" spans="1:7" ht="16.5">
      <c r="A37" s="10" t="s">
        <v>364</v>
      </c>
      <c r="B37" s="4">
        <f>VLOOKUP(A37,联盟DKP榜单!A$1:C$598,3,FALSE)-40*COUNTIF(扣分!A:A,A37)+IF(ISNA(VLOOKUP(A37,结余!A$1:B$600,2,0)),0,VLOOKUP(A37,结余!A$1:B$600,2,0))</f>
        <v>25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25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9</v>
      </c>
    </row>
    <row r="38" spans="1:7" ht="16.5">
      <c r="A38" s="10" t="s">
        <v>378</v>
      </c>
      <c r="B38" s="4">
        <f>VLOOKUP(A38,联盟DKP榜单!A$1:C$598,3,FALSE)-40*COUNTIF(扣分!A:A,A38)+IF(ISNA(VLOOKUP(A38,结余!A$1:B$600,2,0)),0,VLOOKUP(A38,结余!A$1:B$600,2,0))</f>
        <v>25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25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9</v>
      </c>
    </row>
    <row r="39" spans="1:7" ht="16.5">
      <c r="A39" s="10" t="s">
        <v>297</v>
      </c>
      <c r="B39" s="4">
        <f>VLOOKUP(A39,联盟DKP榜单!A$1:C$598,3,FALSE)-40*COUNTIF(扣分!A:A,A39)+IF(ISNA(VLOOKUP(A39,结余!A$1:B$600,2,0)),0,VLOOKUP(A39,结余!A$1:B$600,2,0))</f>
        <v>25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25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9</v>
      </c>
    </row>
    <row r="40" spans="1:7" ht="16.5">
      <c r="A40" s="10" t="s">
        <v>488</v>
      </c>
      <c r="B40" s="4">
        <f>VLOOKUP(A40,联盟DKP榜单!A$1:C$598,3,FALSE)-40*COUNTIF(扣分!A:A,A40)+IF(ISNA(VLOOKUP(A40,结余!A$1:B$600,2,0)),0,VLOOKUP(A40,结余!A$1:B$600,2,0))</f>
        <v>8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8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-8</v>
      </c>
    </row>
    <row r="41" spans="1:7" ht="16.5">
      <c r="A41" s="10" t="s">
        <v>568</v>
      </c>
      <c r="B41" s="4">
        <f>VLOOKUP(A41,联盟DKP榜单!A$1:C$598,3,FALSE)-40*COUNTIF(扣分!A:A,A41)+IF(ISNA(VLOOKUP(A41,结余!A$1:B$600,2,0)),0,VLOOKUP(A41,结余!A$1:B$600,2,0))</f>
        <v>13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13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-3</v>
      </c>
    </row>
    <row r="42" spans="1:7" ht="16.5">
      <c r="A42" s="10" t="s">
        <v>565</v>
      </c>
      <c r="B42" s="4">
        <f>VLOOKUP(A42,联盟DKP榜单!A$1:C$598,3,FALSE)-40*COUNTIF(扣分!A:A,A42)+IF(ISNA(VLOOKUP(A42,结余!A$1:B$600,2,0)),0,VLOOKUP(A42,结余!A$1:B$600,2,0))</f>
        <v>16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16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0</v>
      </c>
    </row>
    <row r="43" spans="1:7" ht="16.5">
      <c r="A43" s="10" t="s">
        <v>312</v>
      </c>
      <c r="B43" s="4">
        <f>VLOOKUP(A43,联盟DKP榜单!A$1:C$598,3,FALSE)-40*COUNTIF(扣分!A:A,A43)+IF(ISNA(VLOOKUP(A43,结余!A$1:B$600,2,0)),0,VLOOKUP(A43,结余!A$1:B$600,2,0))</f>
        <v>36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36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20</v>
      </c>
    </row>
    <row r="44" spans="1:7" ht="16.5">
      <c r="A44" s="10" t="s">
        <v>536</v>
      </c>
      <c r="B44" s="4">
        <f>VLOOKUP(A44,联盟DKP榜单!A$1:C$598,3,FALSE)-40*COUNTIF(扣分!A:A,A44)+IF(ISNA(VLOOKUP(A44,结余!A$1:B$600,2,0)),0,VLOOKUP(A44,结余!A$1:B$600,2,0))</f>
        <v>0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0</v>
      </c>
      <c r="F44" s="21">
        <f>IF(AND(E44&gt;0,E44&lt;66),0.01,ROUNDDOWN((E44-16)/50,0))</f>
        <v>0</v>
      </c>
      <c r="G44" s="9">
        <f>IF(AND(F44&gt;=1,F44&lt;=6),E44-F44*50-16,IF(F44=0.01,E44-16,IF(F44=0,0,IF(F44&gt;6,E44-316,0))))</f>
        <v>0</v>
      </c>
    </row>
    <row r="45" spans="1:7" ht="16.5">
      <c r="A45" s="10" t="s">
        <v>385</v>
      </c>
      <c r="B45" s="4">
        <f>VLOOKUP(A45,联盟DKP榜单!A$1:C$598,3,FALSE)-40*COUNTIF(扣分!A:A,A45)+IF(ISNA(VLOOKUP(A45,结余!A$1:B$600,2,0)),0,VLOOKUP(A45,结余!A$1:B$600,2,0))</f>
        <v>0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0</v>
      </c>
      <c r="F45" s="21">
        <f>IF(AND(E45&gt;0,E45&lt;66),0.01,ROUNDDOWN((E45-16)/50,0))</f>
        <v>0</v>
      </c>
      <c r="G45" s="9">
        <f>IF(AND(F45&gt;=1,F45&lt;=6),E45-F45*50-16,IF(F45=0.01,E45-16,IF(F45=0,0,IF(F45&gt;6,E45-316,0))))</f>
        <v>0</v>
      </c>
    </row>
    <row r="46" spans="1:7" ht="16.5">
      <c r="A46" s="10" t="s">
        <v>386</v>
      </c>
      <c r="B46" s="4">
        <f>VLOOKUP(A46,联盟DKP榜单!A$1:C$598,3,FALSE)-40*COUNTIF(扣分!A:A,A46)+IF(ISNA(VLOOKUP(A46,结余!A$1:B$600,2,0)),0,VLOOKUP(A46,结余!A$1:B$600,2,0))</f>
        <v>0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0</v>
      </c>
      <c r="F46" s="21">
        <f>IF(AND(E46&gt;0,E46&lt;66),0.01,ROUNDDOWN((E46-16)/50,0))</f>
        <v>0</v>
      </c>
      <c r="G46" s="9">
        <f>IF(AND(F46&gt;=1,F46&lt;=6),E46-F46*50-16,IF(F46=0.01,E46-16,IF(F46=0,0,IF(F46&gt;6,E46-316,0))))</f>
        <v>0</v>
      </c>
    </row>
    <row r="47" spans="1:7" ht="16.5">
      <c r="A47" s="10" t="s">
        <v>387</v>
      </c>
      <c r="B47" s="4">
        <f>VLOOKUP(A47,联盟DKP榜单!A$1:C$598,3,FALSE)-40*COUNTIF(扣分!A:A,A47)+IF(ISNA(VLOOKUP(A47,结余!A$1:B$600,2,0)),0,VLOOKUP(A47,结余!A$1:B$600,2,0))</f>
        <v>0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0</v>
      </c>
      <c r="F47" s="21">
        <f>IF(AND(E47&gt;0,E47&lt;66),0.01,ROUNDDOWN((E47-16)/50,0))</f>
        <v>0</v>
      </c>
      <c r="G47" s="9">
        <f>IF(AND(F47&gt;=1,F47&lt;=6),E47-F47*50-16,IF(F47=0.01,E47-16,IF(F47=0,0,IF(F47&gt;6,E47-316,0))))</f>
        <v>0</v>
      </c>
    </row>
    <row r="48" spans="1:7" ht="16.5">
      <c r="A48" s="10" t="s">
        <v>388</v>
      </c>
      <c r="B48" s="4">
        <f>VLOOKUP(A48,联盟DKP榜单!A$1:C$598,3,FALSE)-40*COUNTIF(扣分!A:A,A48)+IF(ISNA(VLOOKUP(A48,结余!A$1:B$600,2,0)),0,VLOOKUP(A48,结余!A$1:B$600,2,0))</f>
        <v>0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0</v>
      </c>
      <c r="F48" s="21">
        <f>IF(AND(E48&gt;0,E48&lt;66),0.01,ROUNDDOWN((E48-16)/50,0))</f>
        <v>0</v>
      </c>
      <c r="G48" s="9">
        <f>IF(AND(F48&gt;=1,F48&lt;=6),E48-F48*50-16,IF(F48=0.01,E48-16,IF(F48=0,0,IF(F48&gt;6,E48-316,0))))</f>
        <v>0</v>
      </c>
    </row>
    <row r="49" spans="1:7" ht="16.5">
      <c r="A49" s="10" t="s">
        <v>360</v>
      </c>
      <c r="B49" s="4">
        <f>VLOOKUP(A49,联盟DKP榜单!A$1:C$598,3,FALSE)-40*COUNTIF(扣分!A:A,A49)+IF(ISNA(VLOOKUP(A49,结余!A$1:B$600,2,0)),0,VLOOKUP(A49,结余!A$1:B$600,2,0))</f>
        <v>0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0</v>
      </c>
      <c r="F49" s="21">
        <f>IF(AND(E49&gt;0,E49&lt;66),0.01,ROUNDDOWN((E49-16)/50,0))</f>
        <v>0</v>
      </c>
      <c r="G49" s="9">
        <f>IF(AND(F49&gt;=1,F49&lt;=6),E49-F49*50-16,IF(F49=0.01,E49-16,IF(F49=0,0,IF(F49&gt;6,E49-316,0))))</f>
        <v>0</v>
      </c>
    </row>
    <row r="50" spans="1:7" ht="16.5">
      <c r="A50" s="10" t="s">
        <v>496</v>
      </c>
      <c r="B50" s="4">
        <f>VLOOKUP(A50,联盟DKP榜单!A$1:C$598,3,FALSE)-40*COUNTIF(扣分!A:A,A50)+IF(ISNA(VLOOKUP(A50,结余!A$1:B$600,2,0)),0,VLOOKUP(A50,结余!A$1:B$600,2,0))</f>
        <v>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0</v>
      </c>
      <c r="F50" s="21">
        <f>IF(AND(E50&gt;0,E50&lt;66),0.01,ROUNDDOWN((E50-16)/50,0))</f>
        <v>0</v>
      </c>
      <c r="G50" s="9">
        <f>IF(AND(F50&gt;=1,F50&lt;=6),E50-F50*50-16,IF(F50=0.01,E50-16,IF(F50=0,0,IF(F50&gt;6,E50-316,0))))</f>
        <v>0</v>
      </c>
    </row>
    <row r="51" spans="1:7" ht="16.5">
      <c r="A51" s="10" t="s">
        <v>641</v>
      </c>
      <c r="B51" s="4">
        <f>VLOOKUP(A51,联盟DKP榜单!A$1:C$598,3,FALSE)-40*COUNTIF(扣分!A:A,A51)+IF(ISNA(VLOOKUP(A51,结余!A$1:B$600,2,0)),0,VLOOKUP(A51,结余!A$1:B$600,2,0))</f>
        <v>0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0</v>
      </c>
      <c r="F51" s="21">
        <f>IF(AND(E51&gt;0,E51&lt;66),0.01,ROUNDDOWN((E51-16)/50,0))</f>
        <v>0</v>
      </c>
      <c r="G51" s="9">
        <f>IF(AND(F51&gt;=1,F51&lt;=6),E51-F51*50-16,IF(F51=0.01,E51-16,IF(F51=0,0,IF(F51&gt;6,E51-316,0))))</f>
        <v>0</v>
      </c>
    </row>
    <row r="52" spans="1:7" ht="16.5">
      <c r="A52" s="10" t="s">
        <v>561</v>
      </c>
      <c r="B52" s="4">
        <f>VLOOKUP(A52,联盟DKP榜单!A$1:C$598,3,FALSE)-40*COUNTIF(扣分!A:A,A52)+IF(ISNA(VLOOKUP(A52,结余!A$1:B$600,2,0)),0,VLOOKUP(A52,结余!A$1:B$600,2,0))</f>
        <v>0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0</v>
      </c>
      <c r="F52" s="21">
        <f>IF(AND(E52&gt;0,E52&lt;66),0.01,ROUNDDOWN((E52-16)/50,0))</f>
        <v>0</v>
      </c>
      <c r="G52" s="9">
        <f>IF(AND(F52&gt;=1,F52&lt;=6),E52-F52*50-16,IF(F52=0.01,E52-16,IF(F52=0,0,IF(F52&gt;6,E52-316,0))))</f>
        <v>0</v>
      </c>
    </row>
    <row r="53" spans="1:7" ht="16.5">
      <c r="A53" s="10" t="s">
        <v>345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0</v>
      </c>
      <c r="F53" s="21">
        <f>IF(AND(E53&gt;0,E53&lt;66),0.01,ROUNDDOWN((E53-16)/50,0))</f>
        <v>0</v>
      </c>
      <c r="G53" s="9">
        <f>IF(AND(F53&gt;=1,F53&lt;=6),E53-F53*50-16,IF(F53=0.01,E53-16,IF(F53=0,0,IF(F53&gt;6,E53-316,0))))</f>
        <v>0</v>
      </c>
    </row>
    <row r="54" spans="1:7" ht="16.5">
      <c r="A54" s="10" t="s">
        <v>344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0</v>
      </c>
      <c r="F54" s="21">
        <f>IF(AND(E54&gt;0,E54&lt;66),0.01,ROUNDDOWN((E54-16)/50,0))</f>
        <v>0</v>
      </c>
      <c r="G54" s="9">
        <f>IF(AND(F54&gt;=1,F54&lt;=6),E54-F54*50-16,IF(F54=0.01,E54-16,IF(F54=0,0,IF(F54&gt;6,E54-316,0))))</f>
        <v>0</v>
      </c>
    </row>
    <row r="55" spans="1:7" ht="16.5">
      <c r="A55" s="10" t="s">
        <v>343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394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0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340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339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338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463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337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554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336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335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334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333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332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417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331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372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415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373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546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374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356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308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362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375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376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377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379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366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368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367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363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369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371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380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365</v>
      </c>
      <c r="B89" s="4">
        <f>VLOOKUP(A89,联盟DKP榜单!A$1:C$598,3,FALSE)-40*COUNTIF(扣分!A:A,A89)+IF(ISNA(VLOOKUP(A89,结余!A$1:B$600,2,0)),0,VLOOKUP(A89,结余!A$1:B$600,2,0))</f>
        <v>-14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-14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458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381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382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532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383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384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307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295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305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304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253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303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302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301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300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299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298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288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566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289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293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275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291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330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329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328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327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559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326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282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324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323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322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321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320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461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319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318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558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317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316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315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314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313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311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310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450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286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556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309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555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290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/>
      <c r="B142" s="4"/>
      <c r="C142" s="21"/>
      <c r="D142" s="21"/>
      <c r="E142" s="21"/>
      <c r="F142" s="21"/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2:6" ht="16.5">
      <c r="B145" s="4"/>
      <c r="C145" s="8"/>
      <c r="D145" s="8"/>
      <c r="E145" s="8"/>
      <c r="F145" s="8"/>
    </row>
    <row r="146" spans="2:6" ht="16.5">
      <c r="B146" s="4"/>
      <c r="C146" s="8"/>
      <c r="D146" s="8"/>
      <c r="E146" s="8"/>
      <c r="F146" s="8"/>
    </row>
    <row r="147" spans="2:6" ht="16.5">
      <c r="B147" s="4"/>
      <c r="C147" s="7"/>
      <c r="D147" s="7"/>
      <c r="E147" s="7"/>
      <c r="F147" s="7"/>
    </row>
    <row r="148" spans="2:6" ht="16.5">
      <c r="B148" s="4"/>
      <c r="C148" s="7"/>
      <c r="D148" s="7"/>
      <c r="E148" s="7"/>
      <c r="F148" s="7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D7" sqref="D7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599"/>
  <sheetViews>
    <sheetView topLeftCell="A527" workbookViewId="0">
      <selection activeCell="L553" sqref="L553:L554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落笔如歌歌如月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116</v>
      </c>
    </row>
    <row r="2" spans="1:2">
      <c r="A2" s="9" t="str">
        <f>IF(联盟DKP榜单!A3&lt;&gt;"",联盟DKP榜单!A3,"")</f>
        <v>水影悠兰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173</v>
      </c>
    </row>
    <row r="3" spans="1:2">
      <c r="A3" s="9" t="str">
        <f>IF(联盟DKP榜单!A4&lt;&gt;"",联盟DKP榜单!A4,"")</f>
        <v>梦觞丶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140</v>
      </c>
    </row>
    <row r="4" spans="1:2">
      <c r="A4" s="9" t="str">
        <f>IF(联盟DKP榜单!A5&lt;&gt;"",联盟DKP榜单!A5,"")</f>
        <v>紫雨幽雲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328</v>
      </c>
    </row>
    <row r="5" spans="1:2">
      <c r="A5" s="9" t="str">
        <f>IF(联盟DKP榜单!A6&lt;&gt;"",联盟DKP榜单!A6,"")</f>
        <v>零拾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418</v>
      </c>
    </row>
    <row r="6" spans="1:2">
      <c r="A6" s="9" t="str">
        <f>IF(联盟DKP榜单!A7&lt;&gt;"",联盟DKP榜单!A7,"")</f>
        <v>冷清语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36</v>
      </c>
    </row>
    <row r="7" spans="1:2">
      <c r="A7" s="9" t="str">
        <f>IF(联盟DKP榜单!A8&lt;&gt;"",联盟DKP榜单!A8,"")</f>
        <v>冷晓汐丶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97</v>
      </c>
    </row>
    <row r="8" spans="1:2">
      <c r="A8" s="9" t="str">
        <f>IF(联盟DKP榜单!A9&lt;&gt;"",联盟DKP榜单!A9,"")</f>
        <v>蝶舞旧梦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119</v>
      </c>
    </row>
    <row r="9" spans="1:2">
      <c r="A9" s="9" t="str">
        <f>IF(联盟DKP榜单!A10&lt;&gt;"",联盟DKP榜单!A10,"")</f>
        <v>西城诀＂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134</v>
      </c>
    </row>
    <row r="10" spans="1:2">
      <c r="A10" s="9" t="str">
        <f>IF(联盟DKP榜单!A11&lt;&gt;"",联盟DKP榜单!A11,"")</f>
        <v>木清。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3</v>
      </c>
    </row>
    <row r="11" spans="1:2">
      <c r="A11" s="9" t="str">
        <f>IF(联盟DKP榜单!A12&lt;&gt;"",联盟DKP榜单!A12,"")</f>
        <v>诸天花雨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89</v>
      </c>
    </row>
    <row r="12" spans="1:2">
      <c r="A12" s="9" t="str">
        <f>IF(联盟DKP榜单!A13&lt;&gt;"",联盟DKP榜单!A13,"")</f>
        <v>天语灬幻影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8</v>
      </c>
    </row>
    <row r="13" spans="1:2">
      <c r="A13" s="9" t="str">
        <f>IF(联盟DKP榜单!A14&lt;&gt;"",联盟DKP榜单!A14,"")</f>
        <v>余子乔丶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137</v>
      </c>
    </row>
    <row r="14" spans="1:2">
      <c r="A14" s="9" t="str">
        <f>IF(联盟DKP榜单!A15&lt;&gt;"",联盟DKP榜单!A15,"")</f>
        <v>漓泉一九九八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58</v>
      </c>
    </row>
    <row r="15" spans="1:2">
      <c r="A15" s="9" t="str">
        <f>IF(联盟DKP榜单!A16&lt;&gt;"",联盟DKP榜单!A16,"")</f>
        <v>丐帮づ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138</v>
      </c>
    </row>
    <row r="16" spans="1:2">
      <c r="A16" s="9" t="str">
        <f>IF(联盟DKP榜单!A17&lt;&gt;"",联盟DKP榜单!A17,"")</f>
        <v>倾舞情儿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25</v>
      </c>
    </row>
    <row r="17" spans="1:2">
      <c r="A17" s="9" t="str">
        <f>IF(联盟DKP榜单!A18&lt;&gt;"",联盟DKP榜单!A18,"")</f>
        <v>唐道人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29</v>
      </c>
    </row>
    <row r="18" spans="1:2">
      <c r="A18" s="9" t="str">
        <f>IF(联盟DKP榜单!A19&lt;&gt;"",联盟DKP榜单!A19,"")</f>
        <v>些许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25</v>
      </c>
    </row>
    <row r="19" spans="1:2">
      <c r="A19" s="9" t="str">
        <f>IF(联盟DKP榜单!A20&lt;&gt;"",联盟DKP榜单!A20,"")</f>
        <v>真的很帅啊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68</v>
      </c>
    </row>
    <row r="20" spans="1:2">
      <c r="A20" s="9" t="str">
        <f>IF(联盟DKP榜单!A21&lt;&gt;"",联盟DKP榜单!A21,"")</f>
        <v>鲜虾鱼板很Q弹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21</v>
      </c>
    </row>
    <row r="21" spans="1:2">
      <c r="A21" s="9" t="str">
        <f>IF(联盟DKP榜单!A22&lt;&gt;"",联盟DKP榜单!A22,"")</f>
        <v>神威小枪将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42</v>
      </c>
    </row>
    <row r="22" spans="1:2">
      <c r="A22" s="9" t="str">
        <f>IF(联盟DKP榜单!A23&lt;&gt;"",联盟DKP榜单!A23,"")</f>
        <v>酒夭夭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47</v>
      </c>
    </row>
    <row r="23" spans="1:2">
      <c r="A23" s="9" t="str">
        <f>IF(联盟DKP榜单!A24&lt;&gt;"",联盟DKP榜单!A24,"")</f>
        <v>登徒浪子可奈何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44</v>
      </c>
    </row>
    <row r="24" spans="1:2">
      <c r="A24" s="9" t="str">
        <f>IF(联盟DKP榜单!A25&lt;&gt;"",联盟DKP榜单!A25,"")</f>
        <v>墨萧炎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3</v>
      </c>
    </row>
    <row r="25" spans="1:2">
      <c r="A25" s="9" t="str">
        <f>IF(联盟DKP榜单!A26&lt;&gt;"",联盟DKP榜单!A26,"")</f>
        <v>丶时辰丶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98</v>
      </c>
    </row>
    <row r="26" spans="1:2">
      <c r="A26" s="9" t="str">
        <f>IF(联盟DKP榜单!A27&lt;&gt;"",联盟DKP榜单!A27,"")</f>
        <v>那年红颜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123</v>
      </c>
    </row>
    <row r="27" spans="1:2">
      <c r="A27" s="9" t="str">
        <f>IF(联盟DKP榜单!A28&lt;&gt;"",联盟DKP榜单!A28,"")</f>
        <v>太极至尊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55</v>
      </c>
    </row>
    <row r="28" spans="1:2">
      <c r="A28" s="9" t="str">
        <f>IF(联盟DKP榜单!A29&lt;&gt;"",联盟DKP榜单!A29,"")</f>
        <v>莫寻欢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36</v>
      </c>
    </row>
    <row r="29" spans="1:2">
      <c r="A29" s="9" t="str">
        <f>IF(联盟DKP榜单!A30&lt;&gt;"",联盟DKP榜单!A30,"")</f>
        <v>踏马清月夜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54</v>
      </c>
    </row>
    <row r="30" spans="1:2">
      <c r="A30" s="9" t="str">
        <f>IF(联盟DKP榜单!A31&lt;&gt;"",联盟DKP榜单!A31,"")</f>
        <v>丶摇光丶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95</v>
      </c>
    </row>
    <row r="31" spans="1:2">
      <c r="A31" s="9" t="str">
        <f>IF(联盟DKP榜单!A32&lt;&gt;"",联盟DKP榜单!A32,"")</f>
        <v>薏苡酱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46</v>
      </c>
    </row>
    <row r="32" spans="1:2">
      <c r="A32" s="9" t="str">
        <f>IF(联盟DKP榜单!A33&lt;&gt;"",联盟DKP榜单!A33,"")</f>
        <v>晓月梦澈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92</v>
      </c>
    </row>
    <row r="33" spans="1:2">
      <c r="A33" s="9" t="str">
        <f>IF(联盟DKP榜单!A34&lt;&gt;"",联盟DKP榜单!A34,"")</f>
        <v>一夜雪千山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4</v>
      </c>
    </row>
    <row r="34" spans="1:2">
      <c r="A34" s="9" t="str">
        <f>IF(联盟DKP榜单!A35&lt;&gt;"",联盟DKP榜单!A35,"")</f>
        <v>〆神原秋人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70</v>
      </c>
    </row>
    <row r="35" spans="1:2">
      <c r="A35" s="9" t="str">
        <f>IF(联盟DKP榜单!A36&lt;&gt;"",联盟DKP榜单!A36,"")</f>
        <v>素蝶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33</v>
      </c>
    </row>
    <row r="36" spans="1:2">
      <c r="A36" s="9" t="str">
        <f>IF(联盟DKP榜单!A37&lt;&gt;"",联盟DKP榜单!A37,"")</f>
        <v>明婕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24</v>
      </c>
    </row>
    <row r="37" spans="1:2">
      <c r="A37" s="9" t="str">
        <f>IF(联盟DKP榜单!A38&lt;&gt;"",联盟DKP榜单!A38,"")</f>
        <v>北城别＂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58</v>
      </c>
    </row>
    <row r="38" spans="1:2">
      <c r="A38" s="9" t="str">
        <f>IF(联盟DKP榜单!A39&lt;&gt;"",联盟DKP榜单!A39,"")</f>
        <v>澄不二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9</v>
      </c>
    </row>
    <row r="39" spans="1:2">
      <c r="A39" s="9" t="str">
        <f>IF(联盟DKP榜单!A40&lt;&gt;"",联盟DKP榜单!A40,"")</f>
        <v>我是你狼叔啊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85</v>
      </c>
    </row>
    <row r="40" spans="1:2">
      <c r="A40" s="9" t="str">
        <f>IF(联盟DKP榜单!A41&lt;&gt;"",联盟DKP榜单!A41,"")</f>
        <v>浪迹小秦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6</v>
      </c>
    </row>
    <row r="41" spans="1:2">
      <c r="A41" s="9" t="str">
        <f>IF(联盟DKP榜单!A42&lt;&gt;"",联盟DKP榜单!A42,"")</f>
        <v>墨河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79</v>
      </c>
    </row>
    <row r="42" spans="1:2">
      <c r="A42" s="9" t="str">
        <f>IF(联盟DKP榜单!A43&lt;&gt;"",联盟DKP榜单!A43,"")</f>
        <v>东风路三狗蛋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4</v>
      </c>
    </row>
    <row r="43" spans="1:2">
      <c r="A43" s="9" t="str">
        <f>IF(联盟DKP榜单!A44&lt;&gt;"",联盟DKP榜单!A44,"")</f>
        <v>‭玄夜ゞ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14</v>
      </c>
    </row>
    <row r="44" spans="1:2">
      <c r="A44" s="9" t="str">
        <f>IF(联盟DKP榜单!A45&lt;&gt;"",联盟DKP榜单!A45,"")</f>
        <v>雪の下八幡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12</v>
      </c>
    </row>
    <row r="45" spans="1:2">
      <c r="A45" s="9" t="str">
        <f>IF(联盟DKP榜单!A46&lt;&gt;"",联盟DKP榜单!A46,"")</f>
        <v>长安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81</v>
      </c>
    </row>
    <row r="46" spans="1:2">
      <c r="A46" s="9" t="str">
        <f>IF(联盟DKP榜单!A47&lt;&gt;"",联盟DKP榜单!A47,"")</f>
        <v>再见是否红着脸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41</v>
      </c>
    </row>
    <row r="47" spans="1:2">
      <c r="A47" s="9" t="str">
        <f>IF(联盟DKP榜单!A48&lt;&gt;"",联盟DKP榜单!A48,"")</f>
        <v>黑泽丶纱重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0</v>
      </c>
    </row>
    <row r="48" spans="1:2">
      <c r="A48" s="9" t="str">
        <f>IF(联盟DKP榜单!A49&lt;&gt;"",联盟DKP榜单!A49,"")</f>
        <v>凌渃尘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40</v>
      </c>
    </row>
    <row r="49" spans="1:2">
      <c r="A49" s="9" t="str">
        <f>IF(联盟DKP榜单!A50&lt;&gt;"",联盟DKP榜单!A50,"")</f>
        <v>森林女巫林晚阳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95</v>
      </c>
    </row>
    <row r="50" spans="1:2">
      <c r="A50" s="9" t="str">
        <f>IF(联盟DKP榜单!A51&lt;&gt;"",联盟DKP榜单!A51,"")</f>
        <v>黑泽丶八重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2</v>
      </c>
    </row>
    <row r="51" spans="1:2">
      <c r="A51" s="9" t="str">
        <f>IF(联盟DKP榜单!A52&lt;&gt;"",联盟DKP榜单!A52,"")</f>
        <v>树儿高高长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12</v>
      </c>
    </row>
    <row r="52" spans="1:2">
      <c r="A52" s="9" t="str">
        <f>IF(联盟DKP榜单!A53&lt;&gt;"",联盟DKP榜单!A53,"")</f>
        <v>蝎子莱莱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48</v>
      </c>
    </row>
    <row r="53" spans="1:2">
      <c r="A53" s="9" t="str">
        <f>IF(联盟DKP榜单!A54&lt;&gt;"",联盟DKP榜单!A54,"")</f>
        <v>千绯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36</v>
      </c>
    </row>
    <row r="54" spans="1:2">
      <c r="A54" s="9" t="str">
        <f>IF(联盟DKP榜单!A55&lt;&gt;"",联盟DKP榜单!A55,"")</f>
        <v>天下芒果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4</v>
      </c>
    </row>
    <row r="55" spans="1:2">
      <c r="A55" s="9" t="str">
        <f>IF(联盟DKP榜单!A56&lt;&gt;"",联盟DKP榜单!A56,"")</f>
        <v>㏑ゞ初心ノ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27</v>
      </c>
    </row>
    <row r="56" spans="1:2">
      <c r="A56" s="9" t="str">
        <f>IF(联盟DKP榜单!A57&lt;&gt;"",联盟DKP榜单!A57,"")</f>
        <v>夜白衣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3</v>
      </c>
    </row>
    <row r="57" spans="1:2">
      <c r="A57" s="9" t="str">
        <f>IF(联盟DKP榜单!A58&lt;&gt;"",联盟DKP榜单!A58,"")</f>
        <v>时钟轻摇孤独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6</v>
      </c>
    </row>
    <row r="58" spans="1:2">
      <c r="A58" s="9" t="str">
        <f>IF(联盟DKP榜单!A59&lt;&gt;"",联盟DKP榜单!A59,"")</f>
        <v>淺笙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2</v>
      </c>
    </row>
    <row r="59" spans="1:2">
      <c r="A59" s="9" t="str">
        <f>IF(联盟DKP榜单!A60&lt;&gt;"",联盟DKP榜单!A60,"")</f>
        <v>荼薇与澈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39</v>
      </c>
    </row>
    <row r="60" spans="1:2">
      <c r="A60" s="9" t="str">
        <f>IF(联盟DKP榜单!A61&lt;&gt;"",联盟DKP榜单!A61,"")</f>
        <v>俱利摩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46</v>
      </c>
    </row>
    <row r="61" spans="1:2">
      <c r="A61" s="9" t="str">
        <f>IF(联盟DKP榜单!A62&lt;&gt;"",联盟DKP榜单!A62,"")</f>
        <v>池小晚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15</v>
      </c>
    </row>
    <row r="62" spans="1:2">
      <c r="A62" s="9" t="str">
        <f>IF(联盟DKP榜单!A63&lt;&gt;"",联盟DKP榜单!A63,"")</f>
        <v>麻瓜师弟晓透明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37</v>
      </c>
    </row>
    <row r="63" spans="1:2">
      <c r="A63" s="9" t="str">
        <f>IF(联盟DKP榜单!A64&lt;&gt;"",联盟DKP榜单!A64,"")</f>
        <v>a逼c迪e诶扶鸡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33</v>
      </c>
    </row>
    <row r="64" spans="1:2">
      <c r="A64" s="9" t="str">
        <f>IF(联盟DKP榜单!A65&lt;&gt;"",联盟DKP榜单!A65,"")</f>
        <v>路尧。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23</v>
      </c>
    </row>
    <row r="65" spans="1:2">
      <c r="A65" s="9" t="str">
        <f>IF(联盟DKP榜单!A66&lt;&gt;"",联盟DKP榜单!A66,"")</f>
        <v>叮当猫づ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36</v>
      </c>
    </row>
    <row r="66" spans="1:2">
      <c r="A66" s="9" t="str">
        <f>IF(联盟DKP榜单!A67&lt;&gt;"",联盟DKP榜单!A67,"")</f>
        <v>奶小牛丶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58</v>
      </c>
    </row>
    <row r="67" spans="1:2">
      <c r="A67" s="9" t="str">
        <f>IF(联盟DKP榜单!A68&lt;&gt;"",联盟DKP榜单!A68,"")</f>
        <v>逍遥凝月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6</v>
      </c>
    </row>
    <row r="68" spans="1:2">
      <c r="A68" s="9" t="str">
        <f>IF(联盟DKP榜单!A69&lt;&gt;"",联盟DKP榜单!A69,"")</f>
        <v>鲨鱼辣椒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14</v>
      </c>
    </row>
    <row r="69" spans="1:2">
      <c r="A69" s="9" t="str">
        <f>IF(联盟DKP榜单!A70&lt;&gt;"",联盟DKP榜单!A70,"")</f>
        <v>守护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44</v>
      </c>
    </row>
    <row r="70" spans="1:2">
      <c r="A70" s="9" t="str">
        <f>IF(联盟DKP榜单!A71&lt;&gt;"",联盟DKP榜单!A71,"")</f>
        <v>氿々若曦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9</v>
      </c>
    </row>
    <row r="71" spans="1:2">
      <c r="A71" s="9" t="str">
        <f>IF(联盟DKP榜单!A72&lt;&gt;"",联盟DKP榜单!A72,"")</f>
        <v>❀❀長安゛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49</v>
      </c>
    </row>
    <row r="72" spans="1:2">
      <c r="A72" s="9" t="str">
        <f>IF(联盟DKP榜单!A73&lt;&gt;"",联盟DKP榜单!A73,"")</f>
        <v>友善的大夫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43</v>
      </c>
    </row>
    <row r="73" spans="1:2">
      <c r="A73" s="9" t="str">
        <f>IF(联盟DKP榜单!A74&lt;&gt;"",联盟DKP榜单!A74,"")</f>
        <v>太子彬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23</v>
      </c>
    </row>
    <row r="74" spans="1:2">
      <c r="A74" s="9" t="str">
        <f>IF(联盟DKP榜单!A75&lt;&gt;"",联盟DKP榜单!A75,"")</f>
        <v>襄州牛头梗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41</v>
      </c>
    </row>
    <row r="75" spans="1:2">
      <c r="A75" s="9" t="str">
        <f>IF(联盟DKP榜单!A76&lt;&gt;"",联盟DKP榜单!A76,"")</f>
        <v>神威再见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49</v>
      </c>
    </row>
    <row r="76" spans="1:2">
      <c r="A76" s="9" t="str">
        <f>IF(联盟DKP榜单!A77&lt;&gt;"",联盟DKP榜单!A77,"")</f>
        <v>ヅ醉晴空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38</v>
      </c>
    </row>
    <row r="77" spans="1:2">
      <c r="A77" s="9" t="str">
        <f>IF(联盟DKP榜单!A78&lt;&gt;"",联盟DKP榜单!A78,"")</f>
        <v>墨韵轩华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30</v>
      </c>
    </row>
    <row r="78" spans="1:2">
      <c r="A78" s="9" t="str">
        <f>IF(联盟DKP榜单!A79&lt;&gt;"",联盟DKP榜单!A79,"")</f>
        <v>南宫絮语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42</v>
      </c>
    </row>
    <row r="79" spans="1:2">
      <c r="A79" s="9" t="str">
        <f>IF(联盟DKP榜单!A80&lt;&gt;"",联盟DKP榜单!A80,"")</f>
        <v>ヅ伴烟萝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6</v>
      </c>
    </row>
    <row r="80" spans="1:2">
      <c r="A80" s="9" t="str">
        <f>IF(联盟DKP榜单!A81&lt;&gt;"",联盟DKP榜单!A81,"")</f>
        <v>花兮兮兮兮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25</v>
      </c>
    </row>
    <row r="81" spans="1:2">
      <c r="A81" s="9" t="str">
        <f>IF(联盟DKP榜单!A82&lt;&gt;"",联盟DKP榜单!A82,"")</f>
        <v>シ流氓帅哥ジ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3</v>
      </c>
    </row>
    <row r="82" spans="1:2">
      <c r="A82" s="9" t="str">
        <f>IF(联盟DKP榜单!A83&lt;&gt;"",联盟DKP榜单!A83,"")</f>
        <v>我讨厌用名字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37</v>
      </c>
    </row>
    <row r="83" spans="1:2">
      <c r="A83" s="9" t="str">
        <f>IF(联盟DKP榜单!A84&lt;&gt;"",联盟DKP榜单!A84,"")</f>
        <v>惜玉挽轻裳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25</v>
      </c>
    </row>
    <row r="84" spans="1:2">
      <c r="A84" s="9" t="str">
        <f>IF(联盟DKP榜单!A85&lt;&gt;"",联盟DKP榜单!A85,"")</f>
        <v>一朝花满城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39</v>
      </c>
    </row>
    <row r="85" spans="1:2">
      <c r="A85" s="9" t="str">
        <f>IF(联盟DKP榜单!A86&lt;&gt;"",联盟DKP榜单!A86,"")</f>
        <v>老白快跑打不过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42</v>
      </c>
    </row>
    <row r="86" spans="1:2">
      <c r="A86" s="9" t="str">
        <f>IF(联盟DKP榜单!A87&lt;&gt;"",联盟DKP榜单!A87,"")</f>
        <v>伊贰叁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37</v>
      </c>
    </row>
    <row r="87" spans="1:2">
      <c r="A87" s="9" t="str">
        <f>IF(联盟DKP榜单!A88&lt;&gt;"",联盟DKP榜单!A88,"")</f>
        <v>巴蜀萨摩耶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15</v>
      </c>
    </row>
    <row r="88" spans="1:2">
      <c r="A88" s="9" t="str">
        <f>IF(联盟DKP榜单!A89&lt;&gt;"",联盟DKP榜单!A89,"")</f>
        <v>神荼夜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7</v>
      </c>
    </row>
    <row r="89" spans="1:2">
      <c r="A89" s="9" t="str">
        <f>IF(联盟DKP榜单!A90&lt;&gt;"",联盟DKP榜单!A90,"")</f>
        <v>凉城薇梦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44</v>
      </c>
    </row>
    <row r="90" spans="1:2">
      <c r="A90" s="9" t="str">
        <f>IF(联盟DKP榜单!A91&lt;&gt;"",联盟DKP榜单!A91,"")</f>
        <v>小仙女上天吗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42</v>
      </c>
    </row>
    <row r="91" spans="1:2">
      <c r="A91" s="9" t="str">
        <f>IF(联盟DKP榜单!A92&lt;&gt;"",联盟DKP榜单!A92,"")</f>
        <v>′君之名灬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8</v>
      </c>
    </row>
    <row r="92" spans="1:2">
      <c r="A92" s="9" t="str">
        <f>IF(联盟DKP榜单!A93&lt;&gt;"",联盟DKP榜单!A93,"")</f>
        <v>帅气无敌康爸爸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34</v>
      </c>
    </row>
    <row r="93" spans="1:2">
      <c r="A93" s="9" t="str">
        <f>IF(联盟DKP榜单!A94&lt;&gt;"",联盟DKP榜单!A94,"")</f>
        <v>口味太怪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8</v>
      </c>
    </row>
    <row r="94" spans="1:2">
      <c r="A94" s="9" t="str">
        <f>IF(联盟DKP榜单!A95&lt;&gt;"",联盟DKP榜单!A95,"")</f>
        <v>凡人的梦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29</v>
      </c>
    </row>
    <row r="95" spans="1:2">
      <c r="A95" s="9" t="str">
        <f>IF(联盟DKP榜单!A96&lt;&gt;"",联盟DKP榜单!A96,"")</f>
        <v>昙花一现醉流年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30</v>
      </c>
    </row>
    <row r="96" spans="1:2">
      <c r="A96" s="9" t="str">
        <f>IF(联盟DKP榜单!A97&lt;&gt;"",联盟DKP榜单!A97,"")</f>
        <v>毒辣小可乐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34</v>
      </c>
    </row>
    <row r="97" spans="1:2">
      <c r="A97" s="9" t="str">
        <f>IF(联盟DKP榜单!A98&lt;&gt;"",联盟DKP榜单!A98,"")</f>
        <v>泯渊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24</v>
      </c>
    </row>
    <row r="98" spans="1:2">
      <c r="A98" s="9" t="str">
        <f>IF(联盟DKP榜单!A99&lt;&gt;"",联盟DKP榜单!A99,"")</f>
        <v>伴我几度。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20</v>
      </c>
    </row>
    <row r="99" spans="1:2">
      <c r="A99" s="9" t="str">
        <f>IF(联盟DKP榜单!A100&lt;&gt;"",联盟DKP榜单!A100,"")</f>
        <v>毒药奶茶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16</v>
      </c>
    </row>
    <row r="100" spans="1:2">
      <c r="A100" s="9" t="str">
        <f>IF(联盟DKP榜单!A101&lt;&gt;"",联盟DKP榜单!A101,"")</f>
        <v>丐帮汪剑通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22</v>
      </c>
    </row>
    <row r="101" spans="1:2">
      <c r="A101" s="9" t="str">
        <f>IF(联盟DKP榜单!A102&lt;&gt;"",联盟DKP榜单!A102,"")</f>
        <v>只想做个好人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46</v>
      </c>
    </row>
    <row r="102" spans="1:2">
      <c r="A102" s="9" t="str">
        <f>IF(联盟DKP榜单!A103&lt;&gt;"",联盟DKP榜单!A103,"")</f>
        <v>斗战圣佛孙悟空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24</v>
      </c>
    </row>
    <row r="103" spans="1:2">
      <c r="A103" s="9" t="str">
        <f>IF(联盟DKP榜单!A104&lt;&gt;"",联盟DKP榜单!A104,"")</f>
        <v>童话话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33</v>
      </c>
    </row>
    <row r="104" spans="1:2">
      <c r="A104" s="9" t="str">
        <f>IF(联盟DKP榜单!A105&lt;&gt;"",联盟DKP榜单!A105,"")</f>
        <v>如殇如暮歌ゎ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24</v>
      </c>
    </row>
    <row r="105" spans="1:2">
      <c r="A105" s="9" t="str">
        <f>IF(联盟DKP榜单!A106&lt;&gt;"",联盟DKP榜单!A106,"")</f>
        <v>茴香。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24</v>
      </c>
    </row>
    <row r="106" spans="1:2">
      <c r="A106" s="9" t="str">
        <f>IF(联盟DKP榜单!A107&lt;&gt;"",联盟DKP榜单!A107,"")</f>
        <v>欲挽游丝萦好梦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24</v>
      </c>
    </row>
    <row r="107" spans="1:2">
      <c r="A107" s="9" t="str">
        <f>IF(联盟DKP榜单!A108&lt;&gt;"",联盟DKP榜单!A108,"")</f>
        <v>鱼香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24</v>
      </c>
    </row>
    <row r="108" spans="1:2">
      <c r="A108" s="9" t="str">
        <f>IF(联盟DKP榜单!A109&lt;&gt;"",联盟DKP榜单!A109,"")</f>
        <v>守护锋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24</v>
      </c>
    </row>
    <row r="109" spans="1:2">
      <c r="A109" s="9" t="str">
        <f>IF(联盟DKP榜单!A110&lt;&gt;"",联盟DKP榜单!A110,"")</f>
        <v>FateScorpio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24</v>
      </c>
    </row>
    <row r="110" spans="1:2">
      <c r="A110" s="9" t="str">
        <f>IF(联盟DKP榜单!A111&lt;&gt;"",联盟DKP榜单!A111,"")</f>
        <v>丶森埋丶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44</v>
      </c>
    </row>
    <row r="111" spans="1:2">
      <c r="A111" s="9" t="str">
        <f>IF(联盟DKP榜单!A112&lt;&gt;"",联盟DKP榜单!A112,"")</f>
        <v>一人一枪闯九州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4</v>
      </c>
    </row>
    <row r="112" spans="1:2">
      <c r="A112" s="9" t="str">
        <f>IF(联盟DKP榜单!A113&lt;&gt;"",联盟DKP榜单!A113,"")</f>
        <v>肖贱贱丶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49</v>
      </c>
    </row>
    <row r="113" spans="1:2">
      <c r="A113" s="9" t="str">
        <f>IF(联盟DKP榜单!A114&lt;&gt;"",联盟DKP榜单!A114,"")</f>
        <v>르르萝莉洒르르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39</v>
      </c>
    </row>
    <row r="114" spans="1:2">
      <c r="A114" s="9" t="str">
        <f>IF(联盟DKP榜单!A115&lt;&gt;"",联盟DKP榜单!A115,"")</f>
        <v>叨叨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43</v>
      </c>
    </row>
    <row r="115" spans="1:2">
      <c r="A115" s="9" t="str">
        <f>IF(联盟DKP榜单!A116&lt;&gt;"",联盟DKP榜单!A116,"")</f>
        <v>刀锋之影丶尧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18</v>
      </c>
    </row>
    <row r="116" spans="1:2">
      <c r="A116" s="9" t="str">
        <f>IF(联盟DKP榜单!A117&lt;&gt;"",联盟DKP榜单!A117,"")</f>
        <v>请叫我小五哥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20</v>
      </c>
    </row>
    <row r="117" spans="1:2">
      <c r="A117" s="9" t="str">
        <f>IF(联盟DKP榜单!A118&lt;&gt;"",联盟DKP榜单!A118,"")</f>
        <v>与尔同销萬古愁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7</v>
      </c>
    </row>
    <row r="118" spans="1:2">
      <c r="A118" s="9" t="str">
        <f>IF(联盟DKP榜单!A119&lt;&gt;"",联盟DKP榜单!A119,"")</f>
        <v>潇洒仗剑天下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10</v>
      </c>
    </row>
    <row r="119" spans="1:2">
      <c r="A119" s="9" t="str">
        <f>IF(联盟DKP榜单!A120&lt;&gt;"",联盟DKP榜单!A120,"")</f>
        <v>昔昔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24</v>
      </c>
    </row>
    <row r="120" spans="1:2">
      <c r="A120" s="9" t="str">
        <f>IF(联盟DKP榜单!A121&lt;&gt;"",联盟DKP榜单!A121,"")</f>
        <v>仐仐、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17</v>
      </c>
    </row>
    <row r="121" spans="1:2">
      <c r="A121" s="9" t="str">
        <f>IF(联盟DKP榜单!A122&lt;&gt;"",联盟DKP榜单!A122,"")</f>
        <v>冷如是丶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43</v>
      </c>
    </row>
    <row r="122" spans="1:2">
      <c r="A122" s="9" t="str">
        <f>IF(联盟DKP榜单!A123&lt;&gt;"",联盟DKP榜单!A123,"")</f>
        <v>太子龍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42</v>
      </c>
    </row>
    <row r="123" spans="1:2">
      <c r="A123" s="9" t="str">
        <f>IF(联盟DKP榜单!A124&lt;&gt;"",联盟DKP榜单!A124,"")</f>
        <v>杏花村政委白米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19</v>
      </c>
    </row>
    <row r="124" spans="1:2">
      <c r="A124" s="9" t="str">
        <f>IF(联盟DKP榜单!A125&lt;&gt;"",联盟DKP榜单!A125,"")</f>
        <v>梦寻千古香ゝ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19</v>
      </c>
    </row>
    <row r="125" spans="1:2">
      <c r="A125" s="9" t="str">
        <f>IF(联盟DKP榜单!A126&lt;&gt;"",联盟DKP榜单!A126,"")</f>
        <v>劍宸子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19</v>
      </c>
    </row>
    <row r="126" spans="1:2">
      <c r="A126" s="9" t="str">
        <f>IF(联盟DKP榜单!A127&lt;&gt;"",联盟DKP榜单!A127,"")</f>
        <v>百花图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9</v>
      </c>
    </row>
    <row r="127" spans="1:2">
      <c r="A127" s="9" t="str">
        <f>IF(联盟DKP榜单!A128&lt;&gt;"",联盟DKP榜单!A128,"")</f>
        <v>南音潇潇洒洒ご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9</v>
      </c>
    </row>
    <row r="128" spans="1:2">
      <c r="A128" s="9" t="str">
        <f>IF(联盟DKP榜单!A129&lt;&gt;"",联盟DKP榜单!A129,"")</f>
        <v>笑崖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9</v>
      </c>
    </row>
    <row r="129" spans="1:2">
      <c r="A129" s="9" t="str">
        <f>IF(联盟DKP榜单!A130&lt;&gt;"",联盟DKP榜单!A130,"")</f>
        <v>刀灵媛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9</v>
      </c>
    </row>
    <row r="130" spans="1:2">
      <c r="A130" s="9" t="str">
        <f>IF(联盟DKP榜单!A131&lt;&gt;"",联盟DKP榜单!A131,"")</f>
        <v>最爱熊猫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9</v>
      </c>
    </row>
    <row r="131" spans="1:2">
      <c r="A131" s="9" t="str">
        <f>IF(联盟DKP榜单!A132&lt;&gt;"",联盟DKP榜单!A132,"")</f>
        <v>墨語丶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9</v>
      </c>
    </row>
    <row r="132" spans="1:2">
      <c r="A132" s="9" t="str">
        <f>IF(联盟DKP榜单!A133&lt;&gt;"",联盟DKP榜单!A133,"")</f>
        <v>剑惜玉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9</v>
      </c>
    </row>
    <row r="133" spans="1:2">
      <c r="A133" s="9" t="str">
        <f>IF(联盟DKP榜单!A134&lt;&gt;"",联盟DKP榜单!A134,"")</f>
        <v>希希希丶汐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9</v>
      </c>
    </row>
    <row r="134" spans="1:2">
      <c r="A134" s="9" t="str">
        <f>IF(联盟DKP榜单!A135&lt;&gt;"",联盟DKP榜单!A135,"")</f>
        <v>折扇很帅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16</v>
      </c>
    </row>
    <row r="135" spans="1:2">
      <c r="A135" s="9" t="str">
        <f>IF(联盟DKP榜单!A136&lt;&gt;"",联盟DKP榜单!A136,"")</f>
        <v>浮生半日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11</v>
      </c>
    </row>
    <row r="136" spans="1:2">
      <c r="A136" s="9" t="str">
        <f>IF(联盟DKP榜单!A137&lt;&gt;"",联盟DKP榜单!A137,"")</f>
        <v>艾莉亞史塔克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5</v>
      </c>
    </row>
    <row r="137" spans="1:2">
      <c r="A137" s="9" t="str">
        <f>IF(联盟DKP榜单!A138&lt;&gt;"",联盟DKP榜单!A138,"")</f>
        <v>顾寻清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15</v>
      </c>
    </row>
    <row r="138" spans="1:2">
      <c r="A138" s="9" t="str">
        <f>IF(联盟DKP榜单!A139&lt;&gt;"",联盟DKP榜单!A139,"")</f>
        <v>清暝月华丶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4</v>
      </c>
    </row>
    <row r="139" spans="1:2">
      <c r="A139" s="9" t="str">
        <f>IF(联盟DKP榜单!A140&lt;&gt;"",联盟DKP榜单!A140,"")</f>
        <v>龙灬泉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34</v>
      </c>
    </row>
    <row r="140" spans="1:2">
      <c r="A140" s="9" t="str">
        <f>IF(联盟DKP榜单!A141&lt;&gt;"",联盟DKP榜单!A141,"")</f>
        <v>茨木与酒吞与狗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7</v>
      </c>
    </row>
    <row r="141" spans="1:2">
      <c r="A141" s="9" t="str">
        <f>IF(联盟DKP榜单!A142&lt;&gt;"",联盟DKP榜单!A142,"")</f>
        <v>壹生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-15</v>
      </c>
    </row>
    <row r="142" spans="1:2">
      <c r="A142" s="9" t="str">
        <f>IF(联盟DKP榜单!A143&lt;&gt;"",联盟DKP榜单!A143,"")</f>
        <v>听一曲清金钩钓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17</v>
      </c>
    </row>
    <row r="143" spans="1:2">
      <c r="A143" s="9" t="str">
        <f>IF(联盟DKP榜单!A144&lt;&gt;"",联盟DKP榜单!A144,"")</f>
        <v>慕瑾流年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45</v>
      </c>
    </row>
    <row r="144" spans="1:2">
      <c r="A144" s="9" t="str">
        <f>IF(联盟DKP榜单!A145&lt;&gt;"",联盟DKP榜单!A145,"")</f>
        <v>杜凡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0</v>
      </c>
    </row>
    <row r="145" spans="1:2">
      <c r="A145" s="9" t="str">
        <f>IF(联盟DKP榜单!A146&lt;&gt;"",联盟DKP榜单!A146,"")</f>
        <v>洛阳承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0</v>
      </c>
    </row>
    <row r="146" spans="1:2">
      <c r="A146" s="9" t="str">
        <f>IF(联盟DKP榜单!A147&lt;&gt;"",联盟DKP榜单!A147,"")</f>
        <v>椛灯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-12</v>
      </c>
    </row>
    <row r="147" spans="1:2">
      <c r="A147" s="9" t="str">
        <f>IF(联盟DKP榜单!A148&lt;&gt;"",联盟DKP榜单!A148,"")</f>
        <v>糖糖哒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0</v>
      </c>
    </row>
    <row r="148" spans="1:2">
      <c r="A148" s="9" t="str">
        <f>IF(联盟DKP榜单!A149&lt;&gt;"",联盟DKP榜单!A149,"")</f>
        <v>圈圈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3</v>
      </c>
    </row>
    <row r="149" spans="1:2">
      <c r="A149" s="9" t="str">
        <f>IF(联盟DKP榜单!A150&lt;&gt;"",联盟DKP榜单!A150,"")</f>
        <v>臻臻无敌衰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0</v>
      </c>
    </row>
    <row r="150" spans="1:2">
      <c r="A150" s="9" t="str">
        <f>IF(联盟DKP榜单!A151&lt;&gt;"",联盟DKP榜单!A151,"")</f>
        <v>如酒如笙歌ゎ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4</v>
      </c>
    </row>
    <row r="151" spans="1:2">
      <c r="A151" s="9" t="str">
        <f>IF(联盟DKP榜单!A152&lt;&gt;"",联盟DKP榜单!A152,"")</f>
        <v>太阳骑士炮灰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0</v>
      </c>
    </row>
    <row r="152" spans="1:2">
      <c r="A152" s="9" t="str">
        <f>IF(联盟DKP榜单!A153&lt;&gt;"",联盟DKP榜单!A153,"")</f>
        <v>鹿山丶政政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0</v>
      </c>
    </row>
    <row r="153" spans="1:2">
      <c r="A153" s="9" t="str">
        <f>IF(联盟DKP榜单!A154&lt;&gt;"",联盟DKP榜单!A154,"")</f>
        <v>凉人丨、梦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43</v>
      </c>
    </row>
    <row r="154" spans="1:2">
      <c r="A154" s="9" t="str">
        <f>IF(联盟DKP榜单!A155&lt;&gt;"",联盟DKP榜单!A155,"")</f>
        <v>闭月羞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0</v>
      </c>
    </row>
    <row r="155" spans="1:2">
      <c r="A155" s="9" t="str">
        <f>IF(联盟DKP榜单!A156&lt;&gt;"",联盟DKP榜单!A156,"")</f>
        <v>魅丿无情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0</v>
      </c>
    </row>
    <row r="156" spans="1:2">
      <c r="A156" s="9" t="str">
        <f>IF(联盟DKP榜单!A157&lt;&gt;"",联盟DKP榜单!A157,"")</f>
        <v>樱夢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0</v>
      </c>
    </row>
    <row r="157" spans="1:2">
      <c r="A157" s="9" t="str">
        <f>IF(联盟DKP榜单!A158&lt;&gt;"",联盟DKP榜单!A158,"")</f>
        <v>凱蒂喵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0</v>
      </c>
    </row>
    <row r="158" spans="1:2">
      <c r="A158" s="9" t="str">
        <f>IF(联盟DKP榜单!A159&lt;&gt;"",联盟DKP榜单!A159,"")</f>
        <v>寒心蕊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0</v>
      </c>
    </row>
    <row r="159" spans="1:2">
      <c r="A159" s="9" t="str">
        <f>IF(联盟DKP榜单!A160&lt;&gt;"",联盟DKP榜单!A160,"")</f>
        <v>九霄风霜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0</v>
      </c>
    </row>
    <row r="160" spans="1:2">
      <c r="A160" s="9" t="str">
        <f>IF(联盟DKP榜单!A161&lt;&gt;"",联盟DKP榜单!A161,"")</f>
        <v>影流皇族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0</v>
      </c>
    </row>
    <row r="161" spans="1:2">
      <c r="A161" s="9" t="str">
        <f>IF(联盟DKP榜单!A162&lt;&gt;"",联盟DKP榜单!A162,"")</f>
        <v>这游戏真挺难啊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0</v>
      </c>
    </row>
    <row r="162" spans="1:2">
      <c r="A162" s="9" t="str">
        <f>IF(联盟DKP榜单!A163&lt;&gt;"",联盟DKP榜单!A163,"")</f>
        <v>雪域星空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0</v>
      </c>
    </row>
    <row r="163" spans="1:2">
      <c r="A163" s="9" t="str">
        <f>IF(联盟DKP榜单!A164&lt;&gt;"",联盟DKP榜单!A164,"")</f>
        <v>我要摸你的大鸟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0</v>
      </c>
    </row>
    <row r="164" spans="1:2">
      <c r="A164" s="9" t="str">
        <f>IF(联盟DKP榜单!A165&lt;&gt;"",联盟DKP榜单!A165,"")</f>
        <v>红颜痴情笑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0</v>
      </c>
    </row>
    <row r="165" spans="1:2">
      <c r="A165" s="9" t="str">
        <f>IF(联盟DKP榜单!A166&lt;&gt;"",联盟DKP榜单!A166,"")</f>
        <v>折影凤栖弦i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-5</v>
      </c>
    </row>
    <row r="166" spans="1:2">
      <c r="A166" s="9" t="str">
        <f>IF(联盟DKP榜单!A167&lt;&gt;"",联盟DKP榜单!A167,"")</f>
        <v>謎恋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0</v>
      </c>
    </row>
    <row r="167" spans="1:2">
      <c r="A167" s="9" t="str">
        <f>IF(联盟DKP榜单!A168&lt;&gt;"",联盟DKP榜单!A168,"")</f>
        <v>落熙。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</v>
      </c>
    </row>
    <row r="168" spans="1:2">
      <c r="A168" s="9" t="str">
        <f>IF(联盟DKP榜单!A169&lt;&gt;"",联盟DKP榜单!A169,"")</f>
        <v>心远地自翩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0</v>
      </c>
    </row>
    <row r="169" spans="1:2">
      <c r="A169" s="9" t="str">
        <f>IF(联盟DKP榜单!A170&lt;&gt;"",联盟DKP榜单!A170,"")</f>
        <v>柚子茶花丶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0</v>
      </c>
    </row>
    <row r="170" spans="1:2">
      <c r="A170" s="9" t="str">
        <f>IF(联盟DKP榜单!A171&lt;&gt;"",联盟DKP榜单!A171,"")</f>
        <v>最后的武士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0</v>
      </c>
    </row>
    <row r="171" spans="1:2">
      <c r="A171" s="9" t="str">
        <f>IF(联盟DKP榜单!A172&lt;&gt;"",联盟DKP榜单!A172,"")</f>
        <v>刃歌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0</v>
      </c>
    </row>
    <row r="172" spans="1:2">
      <c r="A172" s="9" t="str">
        <f>IF(联盟DKP榜单!A173&lt;&gt;"",联盟DKP榜单!A173,"")</f>
        <v>堂堂唐青枫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0</v>
      </c>
    </row>
    <row r="173" spans="1:2">
      <c r="A173" s="9" t="str">
        <f>IF(联盟DKP榜单!A174&lt;&gt;"",联盟DKP榜单!A174,"")</f>
        <v>殇如此忧伤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0</v>
      </c>
    </row>
    <row r="174" spans="1:2">
      <c r="A174" s="9" t="str">
        <f>IF(联盟DKP榜单!A175&lt;&gt;"",联盟DKP榜单!A175,"")</f>
        <v>猜猜ぃ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0</v>
      </c>
    </row>
    <row r="175" spans="1:2">
      <c r="A175" s="9" t="str">
        <f>IF(联盟DKP榜单!A176&lt;&gt;"",联盟DKP榜单!A176,"")</f>
        <v>蔷薇劍里见蔷薇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0</v>
      </c>
    </row>
    <row r="176" spans="1:2">
      <c r="A176" s="9" t="str">
        <f>IF(联盟DKP榜单!A177&lt;&gt;"",联盟DKP榜单!A177,"")</f>
        <v>达娃央宗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0</v>
      </c>
    </row>
    <row r="177" spans="1:2">
      <c r="A177" s="9" t="str">
        <f>IF(联盟DKP榜单!A178&lt;&gt;"",联盟DKP榜单!A178,"")</f>
        <v>大大大大眼萌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44</v>
      </c>
    </row>
    <row r="178" spans="1:2">
      <c r="A178" s="9" t="str">
        <f>IF(联盟DKP榜单!A179&lt;&gt;"",联盟DKP榜单!A179,"")</f>
        <v>落落清歡丶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0</v>
      </c>
    </row>
    <row r="179" spans="1:2">
      <c r="A179" s="9" t="str">
        <f>IF(联盟DKP榜单!A180&lt;&gt;"",联盟DKP榜单!A180,"")</f>
        <v>醉里论道、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0</v>
      </c>
    </row>
    <row r="180" spans="1:2">
      <c r="A180" s="9" t="str">
        <f>IF(联盟DKP榜单!A181&lt;&gt;"",联盟DKP榜单!A181,"")</f>
        <v>kingdan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0</v>
      </c>
    </row>
    <row r="181" spans="1:2">
      <c r="A181" s="9" t="str">
        <f>IF(联盟DKP榜单!A182&lt;&gt;"",联盟DKP榜单!A182,"")</f>
        <v>妮珍莎碧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0</v>
      </c>
    </row>
    <row r="182" spans="1:2">
      <c r="A182" s="9" t="str">
        <f>IF(联盟DKP榜单!A183&lt;&gt;"",联盟DKP榜单!A183,"")</f>
        <v>刁起奶嘴闯天下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0</v>
      </c>
    </row>
    <row r="183" spans="1:2">
      <c r="A183" s="9" t="str">
        <f>IF(联盟DKP榜单!A184&lt;&gt;"",联盟DKP榜单!A184,"")</f>
        <v>诺云丶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0</v>
      </c>
    </row>
    <row r="184" spans="1:2">
      <c r="A184" s="9" t="str">
        <f>IF(联盟DKP榜单!A185&lt;&gt;"",联盟DKP榜单!A185,"")</f>
        <v>龙丘妙之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0</v>
      </c>
    </row>
    <row r="185" spans="1:2">
      <c r="A185" s="9" t="str">
        <f>IF(联盟DKP榜单!A186&lt;&gt;"",联盟DKP榜单!A186,"")</f>
        <v>丿几度度丶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23</v>
      </c>
    </row>
    <row r="186" spans="1:2">
      <c r="A186" s="9" t="str">
        <f>IF(联盟DKP榜单!A187&lt;&gt;"",联盟DKP榜单!A187,"")</f>
        <v>夢尤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0</v>
      </c>
    </row>
    <row r="187" spans="1:2">
      <c r="A187" s="9" t="str">
        <f>IF(联盟DKP榜单!A188&lt;&gt;"",联盟DKP榜单!A188,"")</f>
        <v>暗夜夜夜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0</v>
      </c>
    </row>
    <row r="188" spans="1:2">
      <c r="A188" s="9" t="str">
        <f>IF(联盟DKP榜单!A189&lt;&gt;"",联盟DKP榜单!A189,"")</f>
        <v>丶北风吹啸月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超能英雄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云祗琉璃旧゛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拉轰小女子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凌凌要采莲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0</v>
      </c>
    </row>
    <row r="193" spans="1:2">
      <c r="A193" s="9" t="str">
        <f>IF(联盟DKP榜单!A194&lt;&gt;"",联盟DKP榜单!A194,"")</f>
        <v>博刷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0</v>
      </c>
    </row>
    <row r="194" spans="1:2">
      <c r="A194" s="9" t="str">
        <f>IF(联盟DKP榜单!A195&lt;&gt;"",联盟DKP榜单!A195,"")</f>
        <v>道葉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0</v>
      </c>
    </row>
    <row r="195" spans="1:2">
      <c r="A195" s="9" t="str">
        <f>IF(联盟DKP榜单!A196&lt;&gt;"",联盟DKP榜单!A196,"")</f>
        <v>一个有内涵的人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0</v>
      </c>
    </row>
    <row r="196" spans="1:2">
      <c r="A196" s="9" t="str">
        <f>IF(联盟DKP榜单!A197&lt;&gt;"",联盟DKP榜单!A197,"")</f>
        <v>王的誓言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0</v>
      </c>
    </row>
    <row r="197" spans="1:2">
      <c r="A197" s="9" t="str">
        <f>IF(联盟DKP榜单!A198&lt;&gt;"",联盟DKP榜单!A198,"")</f>
        <v>仁剑震音扬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轩辕明风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0</v>
      </c>
    </row>
    <row r="199" spans="1:2">
      <c r="A199" s="9" t="str">
        <f>IF(联盟DKP榜单!A200&lt;&gt;"",联盟DKP榜单!A200,"")</f>
        <v>惜雨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北城初夏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18</v>
      </c>
    </row>
    <row r="201" spans="1:2">
      <c r="A201" s="9" t="str">
        <f>IF(联盟DKP榜单!A202&lt;&gt;"",联盟DKP榜单!A202,"")</f>
        <v>无丶聊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0</v>
      </c>
    </row>
    <row r="202" spans="1:2">
      <c r="A202" s="9" t="str">
        <f>IF(联盟DKP榜单!A203&lt;&gt;"",联盟DKP榜单!A203,"")</f>
        <v>小雪妖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43</v>
      </c>
    </row>
    <row r="203" spans="1:2">
      <c r="A203" s="9" t="str">
        <f>IF(联盟DKP榜单!A204&lt;&gt;"",联盟DKP榜单!A204,"")</f>
        <v>卷毛子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请叫我崔傻子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32</v>
      </c>
    </row>
    <row r="205" spans="1:2">
      <c r="A205" s="9" t="str">
        <f>IF(联盟DKP榜单!A206&lt;&gt;"",联盟DKP榜单!A206,"")</f>
        <v>项羽。㏒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22</v>
      </c>
    </row>
    <row r="206" spans="1:2">
      <c r="A206" s="9" t="str">
        <f>IF(联盟DKP榜单!A207&lt;&gt;"",联盟DKP榜单!A207,"")</f>
        <v>红毛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㊦゛晴时雨ヾ。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南邦佳人呀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-13</v>
      </c>
    </row>
    <row r="209" spans="1:2">
      <c r="A209" s="9" t="str">
        <f>IF(联盟DKP榜单!A210&lt;&gt;"",联盟DKP榜单!A210,"")</f>
        <v>祢璟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任离流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32</v>
      </c>
    </row>
    <row r="211" spans="1:2">
      <c r="A211" s="9" t="str">
        <f>IF(联盟DKP榜单!A212&lt;&gt;"",联盟DKP榜单!A212,"")</f>
        <v>辰夕灬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唐唐最傲天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得贤妻夫复何求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丶玉衡丶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落叶秋雨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薛无衡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30</v>
      </c>
    </row>
    <row r="217" spans="1:2">
      <c r="A217" s="9" t="str">
        <f>IF(联盟DKP榜单!A218&lt;&gt;"",联盟DKP榜单!A218,"")</f>
        <v>逃跑的糯米糕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0</v>
      </c>
    </row>
    <row r="218" spans="1:2">
      <c r="A218" s="9" t="str">
        <f>IF(联盟DKP榜单!A219&lt;&gt;"",联盟DKP榜单!A219,"")</f>
        <v>叶天簌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时光不矜持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0</v>
      </c>
    </row>
    <row r="220" spans="1:2">
      <c r="A220" s="9" t="str">
        <f>IF(联盟DKP榜单!A221&lt;&gt;"",联盟DKP榜单!A221,"")</f>
        <v>潇潇暮雨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清小柠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0</v>
      </c>
    </row>
    <row r="222" spans="1:2">
      <c r="A222" s="9" t="str">
        <f>IF(联盟DKP榜单!A223&lt;&gt;"",联盟DKP榜单!A223,"")</f>
        <v>李百万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叶知峰哟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企及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神威司空阿龙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鱼爸爸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薄野岚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太极魔尊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辉辉辉辉丶輝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甄心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-8</v>
      </c>
    </row>
    <row r="231" spans="1:2">
      <c r="A231" s="9" t="str">
        <f>IF(联盟DKP榜单!A232&lt;&gt;"",联盟DKP榜单!A232,"")</f>
        <v>琉璎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晓乀脸冰凉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葉窕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灬鬼丶舞灬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樱桃さま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半夏乄言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语丶殇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0</v>
      </c>
    </row>
    <row r="238" spans="1:2">
      <c r="A238" s="9" t="str">
        <f>IF(联盟DKP榜单!A239&lt;&gt;"",联盟DKP榜单!A239,"")</f>
        <v>偌米粥丶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0</v>
      </c>
    </row>
    <row r="239" spans="1:2">
      <c r="A239" s="9" t="str">
        <f>IF(联盟DKP榜单!A240&lt;&gt;"",联盟DKP榜单!A240,"")</f>
        <v>凉山伯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酱油酱紫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0</v>
      </c>
    </row>
    <row r="241" spans="1:2">
      <c r="A241" s="9" t="str">
        <f>IF(联盟DKP榜单!A242&lt;&gt;"",联盟DKP榜单!A242,"")</f>
        <v>易小川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0</v>
      </c>
    </row>
    <row r="242" spans="1:2">
      <c r="A242" s="9" t="str">
        <f>IF(联盟DKP榜单!A243&lt;&gt;"",联盟DKP榜单!A243,"")</f>
        <v>超懒的阿元呀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殇落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遇之则感。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丶丶白色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柒苍术的小傀儡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曲终无意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0</v>
      </c>
    </row>
    <row r="248" spans="1:2">
      <c r="A248" s="9" t="str">
        <f>IF(联盟DKP榜单!A249&lt;&gt;"",联盟DKP榜单!A249,"")</f>
        <v>獨醉。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胡大力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皈依奶小牛丶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0</v>
      </c>
    </row>
    <row r="251" spans="1:2">
      <c r="A251" s="9" t="str">
        <f>IF(联盟DKP榜单!A252&lt;&gt;"",联盟DKP榜单!A252,"")</f>
        <v>丐帮金鹏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太白洗衣液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君i陌离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冬眠的团子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丶忍野咩咩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0</v>
      </c>
    </row>
    <row r="256" spans="1:2">
      <c r="A256" s="9" t="str">
        <f>IF(联盟DKP榜单!A257&lt;&gt;"",联盟DKP榜单!A257,"")</f>
        <v>丶淡衣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壬生京大郎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万年孤独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暮小曦丶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sad自行车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狄万钧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0</v>
      </c>
    </row>
    <row r="262" spans="1:2">
      <c r="A262" s="9" t="str">
        <f>IF(联盟DKP榜单!A263&lt;&gt;"",联盟DKP榜单!A263,"")</f>
        <v>轩伯颖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安好晴天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宋画蝶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苏小嫙。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墨韵玄风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别碰我的葫芦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花儿盛盛开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真爱一定有颜色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邱少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、陌上看花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咲冭陽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0</v>
      </c>
    </row>
    <row r="273" spans="1:2">
      <c r="A273" s="9" t="str">
        <f>IF(联盟DKP榜单!A274&lt;&gt;"",联盟DKP榜单!A274,"")</f>
        <v>慕瑾遥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颂碑寒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笑看浮华红尘事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0</v>
      </c>
    </row>
    <row r="276" spans="1:2">
      <c r="A276" s="9" t="str">
        <f>IF(联盟DKP榜单!A277&lt;&gt;"",联盟DKP榜单!A277,"")</f>
        <v>雪遥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回头我就在身后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黄怀雪华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-3</v>
      </c>
    </row>
    <row r="279" spans="1:2">
      <c r="A279" s="9" t="str">
        <f>IF(联盟DKP榜单!A280&lt;&gt;"",联盟DKP榜单!A280,"")</f>
        <v>咸鱼天香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陌路莫回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FateLibra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苏幕清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丶薛日天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0</v>
      </c>
    </row>
    <row r="284" spans="1:2">
      <c r="A284" s="9" t="str">
        <f>IF(联盟DKP榜单!A285&lt;&gt;"",联盟DKP榜单!A285,"")</f>
        <v>樱．雪蝶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素以折扇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务必叫我欧皇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取个名好麻烦啊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0</v>
      </c>
    </row>
    <row r="288" spans="1:2">
      <c r="A288" s="9" t="str">
        <f>IF(联盟DKP榜单!A289&lt;&gt;"",联盟DKP榜单!A289,"")</f>
        <v>长发飘飘跑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纳加法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韩66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此木青肆丶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31</v>
      </c>
    </row>
    <row r="292" spans="1:2">
      <c r="A292" s="9" t="str">
        <f>IF(联盟DKP榜单!A293&lt;&gt;"",联盟DKP榜单!A293,"")</f>
        <v>八块腹肌小官人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5</v>
      </c>
    </row>
    <row r="293" spans="1:2">
      <c r="A293" s="9" t="str">
        <f>IF(联盟DKP榜单!A294&lt;&gt;"",联盟DKP榜单!A294,"")</f>
        <v>蓝莓小恋人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友善的若云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月影粟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秦友善。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丶神楽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烈凝风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段麒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影逝叹人归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0</v>
      </c>
    </row>
    <row r="301" spans="1:2">
      <c r="A301" s="9" t="str">
        <f>IF(联盟DKP榜单!A302&lt;&gt;"",联盟DKP榜单!A302,"")</f>
        <v>夏又離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梨花黛雨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半日丶浮生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0</v>
      </c>
    </row>
    <row r="304" spans="1:2">
      <c r="A304" s="9" t="str">
        <f>IF(联盟DKP榜单!A305&lt;&gt;"",联盟DKP榜单!A305,"")</f>
        <v>宇文云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丶天蓝色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月夜凉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榕月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0</v>
      </c>
    </row>
    <row r="308" spans="1:2">
      <c r="A308" s="9" t="str">
        <f>IF(联盟DKP榜单!A309&lt;&gt;"",联盟DKP榜单!A309,"")</f>
        <v>蒹葭春羽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逍遥芙蕖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一叶知秋づ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繁华似激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0</v>
      </c>
    </row>
    <row r="312" spans="1:2">
      <c r="A312" s="9" t="str">
        <f>IF(联盟DKP榜单!A313&lt;&gt;"",联盟DKP榜单!A313,"")</f>
        <v>无所不能小奇葩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慕城雪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0</v>
      </c>
    </row>
    <row r="314" spans="1:2">
      <c r="A314" s="9" t="str">
        <f>IF(联盟DKP榜单!A315&lt;&gt;"",联盟DKP榜单!A315,"")</f>
        <v>沉珠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冷汐宇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千雪冰鳳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半月梨花带春风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20</v>
      </c>
    </row>
    <row r="318" spans="1:2">
      <c r="A318" s="9" t="str">
        <f>IF(联盟DKP榜单!A319&lt;&gt;"",联盟DKP榜单!A319,"")</f>
        <v>钟离三昧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春困的团子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天命风流八荒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0</v>
      </c>
    </row>
    <row r="321" spans="1:2">
      <c r="A321" s="9" t="str">
        <f>IF(联盟DKP榜单!A322&lt;&gt;"",联盟DKP榜单!A322,"")</f>
        <v>薏苡。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0</v>
      </c>
    </row>
    <row r="322" spans="1:2">
      <c r="A322" s="9" t="str">
        <f>IF(联盟DKP榜单!A323&lt;&gt;"",联盟DKP榜单!A323,"")</f>
        <v>空了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0</v>
      </c>
    </row>
    <row r="323" spans="1:2">
      <c r="A323" s="9" t="str">
        <f>IF(联盟DKP榜单!A324&lt;&gt;"",联盟DKP榜单!A324,"")</f>
        <v>无爱别演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游尘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冷沐瞳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剑老白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社会我陆姐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乌龙擦汗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神异诀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騎單車的小貓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丶天才小熊猫丶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-4</v>
      </c>
    </row>
    <row r="332" spans="1:2">
      <c r="A332" s="9" t="str">
        <f>IF(联盟DKP榜单!A333&lt;&gt;"",联盟DKP榜单!A333,"")</f>
        <v>明月心丨丶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浪琴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青丶玄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丶古力豆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陈日阳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花开叶不败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無為誰心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0</v>
      </c>
    </row>
    <row r="339" spans="1:2">
      <c r="A339" s="9" t="str">
        <f>IF(联盟DKP榜单!A340&lt;&gt;"",联盟DKP榜单!A340,"")</f>
        <v>破穿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岛屿丶H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冥辕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陨星泪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22</v>
      </c>
    </row>
    <row r="343" spans="1:2">
      <c r="A343" s="9" t="str">
        <f>IF(联盟DKP榜单!A344&lt;&gt;"",联盟DKP榜单!A344,"")</f>
        <v>渡亡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26</v>
      </c>
    </row>
    <row r="344" spans="1:2">
      <c r="A344" s="9" t="str">
        <f>IF(联盟DKP榜单!A345&lt;&gt;"",联盟DKP榜单!A345,"")</f>
        <v>晚下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11</v>
      </c>
    </row>
    <row r="345" spans="1:2">
      <c r="A345" s="9" t="str">
        <f>IF(联盟DKP榜单!A346&lt;&gt;"",联盟DKP榜单!A346,"")</f>
        <v>赵昊昌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萧何笙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0</v>
      </c>
    </row>
    <row r="347" spans="1:2">
      <c r="A347" s="9" t="str">
        <f>IF(联盟DKP榜单!A348&lt;&gt;"",联盟DKP榜单!A348,"")</f>
        <v>墨泓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仼小三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25</v>
      </c>
    </row>
    <row r="349" spans="1:2">
      <c r="A349" s="9" t="str">
        <f>IF(联盟DKP榜单!A350&lt;&gt;"",联盟DKP榜单!A350,"")</f>
        <v>丶夏安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白素。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0</v>
      </c>
    </row>
    <row r="351" spans="1:2">
      <c r="A351" s="9" t="str">
        <f>IF(联盟DKP榜单!A352&lt;&gt;"",联盟DKP榜单!A352,"")</f>
        <v>奥利奥。巧轻脆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除了帅还有酷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一时春色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11</v>
      </c>
    </row>
    <row r="354" spans="1:2">
      <c r="A354" s="9" t="str">
        <f>IF(联盟DKP榜单!A355&lt;&gt;"",联盟DKP榜单!A355,"")</f>
        <v>我是萝卜啊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太极神尊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墨如渊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瞬杀残影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纯情少妇马芳玲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轩辕疯疯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我医写我心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0</v>
      </c>
    </row>
    <row r="361" spans="1:2">
      <c r="A361" s="9" t="str">
        <f>IF(联盟DKP榜单!A362&lt;&gt;"",联盟DKP榜单!A362,"")</f>
        <v>尔非我良人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0</v>
      </c>
    </row>
    <row r="362" spans="1:2">
      <c r="A362" s="9" t="str">
        <f>IF(联盟DKP榜单!A363&lt;&gt;"",联盟DKP榜单!A363,"")</f>
        <v>碧眼狐狸、赵四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李红尘丶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陈凌风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右逝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沐伯乾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0</v>
      </c>
    </row>
    <row r="367" spans="1:2">
      <c r="A367" s="9" t="str">
        <f>IF(联盟DKP榜单!A368&lt;&gt;"",联盟DKP榜单!A368,"")</f>
        <v>嗜酒小道爷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给我一束花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凤鸣秋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雪丶无忆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22</v>
      </c>
    </row>
    <row r="371" spans="1:2">
      <c r="A371" s="9" t="str">
        <f>IF(联盟DKP榜单!A372&lt;&gt;"",联盟DKP榜单!A372,"")</f>
        <v>玉嫣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7</v>
      </c>
    </row>
    <row r="372" spans="1:2">
      <c r="A372" s="9" t="str">
        <f>IF(联盟DKP榜单!A373&lt;&gt;"",联盟DKP榜单!A373,"")</f>
        <v>我找葫芦娃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万里烟云照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我是天香的啊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花炮炮炮炮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13</v>
      </c>
    </row>
    <row r="376" spans="1:2">
      <c r="A376" s="9" t="str">
        <f>IF(联盟DKP榜单!A377&lt;&gt;"",联盟DKP榜单!A377,"")</f>
        <v>牛奶奶奶奶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44</v>
      </c>
    </row>
    <row r="377" spans="1:2">
      <c r="A377" s="9" t="str">
        <f>IF(联盟DKP榜单!A378&lt;&gt;"",联盟DKP榜单!A378,"")</f>
        <v>慕容紫诺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代璟瑗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不见青山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张灵风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青丝枫凌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白轻寒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穆洛晗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贺兰丶宁儿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0</v>
      </c>
    </row>
    <row r="385" spans="1:2">
      <c r="A385" s="9" t="str">
        <f>IF(联盟DKP榜单!A386&lt;&gt;"",联盟DKP榜单!A386,"")</f>
        <v>想象未来的幸福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0</v>
      </c>
    </row>
    <row r="386" spans="1:2">
      <c r="A386" s="9" t="str">
        <f>IF(联盟DKP榜单!A387&lt;&gt;"",联盟DKP榜单!A387,"")</f>
        <v>颖凌雪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老娘是人来疯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天使二号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圣痕丶威神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青纪纱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阴萤儿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天神索隆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劳资好萌好可爱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转身泪雨倾城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慕容诗徽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满分丶离渊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爱的时辰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慕落弦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QQ绿钻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寒绯丶月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0</v>
      </c>
    </row>
    <row r="401" spans="1:2">
      <c r="A401" s="9" t="str">
        <f>IF(联盟DKP榜单!A402&lt;&gt;"",联盟DKP榜单!A402,"")</f>
        <v>唐门仐少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0</v>
      </c>
    </row>
    <row r="402" spans="1:2">
      <c r="A402" s="9" t="str">
        <f>IF(联盟DKP榜单!A403&lt;&gt;"",联盟DKP榜单!A403,"")</f>
        <v>五圆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0</v>
      </c>
    </row>
    <row r="403" spans="1:2">
      <c r="A403" s="9" t="str">
        <f>IF(联盟DKP榜单!A404&lt;&gt;"",联盟DKP榜单!A404,"")</f>
        <v>冷殘心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0</v>
      </c>
    </row>
    <row r="404" spans="1:2">
      <c r="A404" s="9" t="str">
        <f>IF(联盟DKP榜单!A405&lt;&gt;"",联盟DKP榜单!A405,"")</f>
        <v>澪澪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风涧酒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眉间一点白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3</v>
      </c>
    </row>
    <row r="407" spans="1:2">
      <c r="A407" s="9" t="str">
        <f>IF(联盟DKP榜单!A408&lt;&gt;"",联盟DKP榜单!A408,"")</f>
        <v>北夕寒笙丶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翊兮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偶盖伦贼6丶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峰卷残云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孤心傲ソ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袅袅余音灬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〆栗山未来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-10</v>
      </c>
    </row>
    <row r="414" spans="1:2">
      <c r="A414" s="9" t="str">
        <f>IF(联盟DKP榜单!A415&lt;&gt;"",联盟DKP榜单!A415,"")</f>
        <v>在下田师傅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草谷奶奶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沉默的天使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7</v>
      </c>
    </row>
    <row r="417" spans="1:2">
      <c r="A417" s="9" t="str">
        <f>IF(联盟DKP榜单!A418&lt;&gt;"",联盟DKP榜单!A418,"")</f>
        <v>凡盻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萝卜配白菜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0</v>
      </c>
    </row>
    <row r="419" spans="1:2">
      <c r="A419" s="9" t="str">
        <f>IF(联盟DKP榜单!A420&lt;&gt;"",联盟DKP榜单!A420,"")</f>
        <v>拿重剑的唐门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0</v>
      </c>
    </row>
    <row r="420" spans="1:2">
      <c r="A420" s="9" t="str">
        <f>IF(联盟DKP榜单!A421&lt;&gt;"",联盟DKP榜单!A421,"")</f>
        <v>如清如影歌ゎ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0</v>
      </c>
    </row>
    <row r="421" spans="1:2">
      <c r="A421" s="9" t="str">
        <f>IF(联盟DKP榜单!A422&lt;&gt;"",联盟DKP榜单!A422,"")</f>
        <v>提莫似的家里蹲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机智勇敢的小珞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6</v>
      </c>
    </row>
    <row r="423" spans="1:2">
      <c r="A423" s="9" t="str">
        <f>IF(联盟DKP榜单!A424&lt;&gt;"",联盟DKP榜单!A424,"")</f>
        <v>√蓝莓巧克力丶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0</v>
      </c>
    </row>
    <row r="424" spans="1:2">
      <c r="A424" s="9" t="str">
        <f>IF(联盟DKP榜单!A425&lt;&gt;"",联盟DKP榜单!A425,"")</f>
        <v>孤独飞雪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ヅ沐寒霜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0</v>
      </c>
    </row>
    <row r="426" spans="1:2">
      <c r="A426" s="9" t="str">
        <f>IF(联盟DKP榜单!A427&lt;&gt;"",联盟DKP榜单!A427,"")</f>
        <v>慕容诗情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栖零刻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28</v>
      </c>
    </row>
    <row r="428" spans="1:2">
      <c r="A428" s="9" t="str">
        <f>IF(联盟DKP榜单!A429&lt;&gt;"",联盟DKP榜单!A429,"")</f>
        <v>羽洛剑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ZzEvi11qRuxi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黎卿歌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安九岁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Mr丶J丨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20</v>
      </c>
    </row>
    <row r="433" spans="1:2">
      <c r="A433" s="9" t="str">
        <f>IF(联盟DKP榜单!A434&lt;&gt;"",联盟DKP榜单!A434,"")</f>
        <v>薛涛笺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承受我得狂或野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0</v>
      </c>
    </row>
    <row r="435" spans="1:2">
      <c r="A435" s="9" t="str">
        <f>IF(联盟DKP榜单!A436&lt;&gt;"",联盟DKP榜单!A436,"")</f>
        <v>板蓝根薯片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糖小妖ゞ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0</v>
      </c>
    </row>
    <row r="437" spans="1:2">
      <c r="A437" s="9" t="str">
        <f>IF(联盟DKP榜单!A438&lt;&gt;"",联盟DKP榜单!A438,"")</f>
        <v>雪糕失望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12</v>
      </c>
    </row>
    <row r="438" spans="1:2">
      <c r="A438" s="9" t="str">
        <f>IF(联盟DKP榜单!A439&lt;&gt;"",联盟DKP榜单!A439,"")</f>
        <v>浮生翩跹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吕小栋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0</v>
      </c>
    </row>
    <row r="440" spans="1:2">
      <c r="A440" s="9" t="str">
        <f>IF(联盟DKP榜单!A441&lt;&gt;"",联盟DKP榜单!A441,"")</f>
        <v>巡山的人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凰荼歌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0</v>
      </c>
    </row>
    <row r="442" spans="1:2">
      <c r="A442" s="9" t="str">
        <f>IF(联盟DKP榜单!A443&lt;&gt;"",联盟DKP榜单!A443,"")</f>
        <v>牧西城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半朵绯烟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比逗是念着反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0</v>
      </c>
    </row>
    <row r="445" spans="1:2">
      <c r="A445" s="9" t="str">
        <f>IF(联盟DKP榜单!A446&lt;&gt;"",联盟DKP榜单!A446,"")</f>
        <v>叶菡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唐川穹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3</v>
      </c>
    </row>
    <row r="447" spans="1:2">
      <c r="A447" s="9" t="str">
        <f>IF(联盟DKP榜单!A448&lt;&gt;"",联盟DKP榜单!A448,"")</f>
        <v>情多多哆情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一根直肠通大脑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项辰帝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0</v>
      </c>
    </row>
    <row r="450" spans="1:2">
      <c r="A450" s="9" t="str">
        <f>IF(联盟DKP榜单!A451&lt;&gt;"",联盟DKP榜单!A451,"")</f>
        <v>此情珂待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0</v>
      </c>
    </row>
    <row r="451" spans="1:2">
      <c r="A451" s="9" t="str">
        <f>IF(联盟DKP榜单!A452&lt;&gt;"",联盟DKP榜单!A452,"")</f>
        <v>青絮丶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0</v>
      </c>
    </row>
    <row r="452" spans="1:2">
      <c r="A452" s="9" t="str">
        <f>IF(联盟DKP榜单!A453&lt;&gt;"",联盟DKP榜单!A453,"")</f>
        <v>青骢绝骑塑天荒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冬瓜小荞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0</v>
      </c>
    </row>
    <row r="454" spans="1:2">
      <c r="A454" s="9" t="str">
        <f>IF(联盟DKP榜单!A455&lt;&gt;"",联盟DKP榜单!A455,"")</f>
        <v>益恩若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凉情负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0</v>
      </c>
    </row>
    <row r="456" spans="1:2">
      <c r="A456" s="9" t="str">
        <f>IF(联盟DKP榜单!A457&lt;&gt;"",联盟DKP榜单!A457,"")</f>
        <v>心晴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紫舞流年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修释幽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恶酒。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彡电竞丿柯南乄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0</v>
      </c>
    </row>
    <row r="461" spans="1:2">
      <c r="A461" s="9" t="str">
        <f>IF(联盟DKP榜单!A462&lt;&gt;"",联盟DKP榜单!A462,"")</f>
        <v>乄框框ら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3</v>
      </c>
    </row>
    <row r="462" spans="1:2">
      <c r="A462" s="9" t="str">
        <f>IF(联盟DKP榜单!A463&lt;&gt;"",联盟DKP榜单!A463,"")</f>
        <v>叶小左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双墨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0</v>
      </c>
    </row>
    <row r="464" spans="1:2">
      <c r="A464" s="9" t="str">
        <f>IF(联盟DKP榜单!A465&lt;&gt;"",联盟DKP榜单!A465,"")</f>
        <v>妄于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0</v>
      </c>
    </row>
    <row r="465" spans="1:2">
      <c r="A465" s="9" t="str">
        <f>IF(联盟DKP榜单!A466&lt;&gt;"",联盟DKP榜单!A466,"")</f>
        <v>瑶君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茶凉言尽丶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洪时雪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其实是句号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丶吴宇森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33</v>
      </c>
    </row>
    <row r="470" spans="1:2">
      <c r="A470" s="9" t="str">
        <f>IF(联盟DKP榜单!A471&lt;&gt;"",联盟DKP榜单!A471,"")</f>
        <v>顾寻影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大大大大西瓜丶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16</v>
      </c>
    </row>
    <row r="472" spans="1:2">
      <c r="A472" s="9" t="str">
        <f>IF(联盟DKP榜单!A473&lt;&gt;"",联盟DKP榜单!A473,"")</f>
        <v>丰兰无息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乔十三丶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裴述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31</v>
      </c>
    </row>
    <row r="475" spans="1:2">
      <c r="A475" s="9" t="str">
        <f>IF(联盟DKP榜单!A476&lt;&gt;"",联盟DKP榜单!A476,"")</f>
        <v>娜迦海妖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离骚笑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ジ我走后面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3</v>
      </c>
    </row>
    <row r="478" spans="1:2">
      <c r="A478" s="9" t="str">
        <f>IF(联盟DKP榜单!A479&lt;&gt;"",联盟DKP榜单!A479,"")</f>
        <v>巽雷风动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1</v>
      </c>
    </row>
    <row r="479" spans="1:2">
      <c r="A479" s="9" t="str">
        <f>IF(联盟DKP榜单!A480&lt;&gt;"",联盟DKP榜单!A480,"")</f>
        <v>（轩辕道尘）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0</v>
      </c>
    </row>
    <row r="480" spans="1:2">
      <c r="A480" s="9" t="str">
        <f>IF(联盟DKP榜单!A481&lt;&gt;"",联盟DKP榜单!A481,"")</f>
        <v>飞翔的鸟儿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帝喾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坂田金时丶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0</v>
      </c>
    </row>
    <row r="483" spans="1:2">
      <c r="A483" s="9" t="str">
        <f>IF(联盟DKP榜单!A484&lt;&gt;"",联盟DKP榜单!A484,"")</f>
        <v>Mask、天洛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6</v>
      </c>
    </row>
    <row r="484" spans="1:2">
      <c r="A484" s="9" t="str">
        <f>IF(联盟DKP榜单!A485&lt;&gt;"",联盟DKP榜单!A485,"")</f>
        <v>唐时御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0</v>
      </c>
    </row>
    <row r="485" spans="1:2">
      <c r="A485" s="9" t="str">
        <f>IF(联盟DKP榜单!A486&lt;&gt;"",联盟DKP榜单!A486,"")</f>
        <v>我是兔子哟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剑圣|盖聂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谁家娇妻守空房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米兰的阳光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莫雪飞飞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朱颜辞镜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32</v>
      </c>
    </row>
    <row r="491" spans="1:2">
      <c r="A491" s="9" t="str">
        <f>IF(联盟DKP榜单!A492&lt;&gt;"",联盟DKP榜单!A492,"")</f>
        <v>虞姬。㏒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3</v>
      </c>
    </row>
    <row r="492" spans="1:2">
      <c r="A492" s="9" t="str">
        <f>IF(联盟DKP榜单!A493&lt;&gt;"",联盟DKP榜单!A493,"")</f>
        <v>萌萌的小旦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0</v>
      </c>
    </row>
    <row r="493" spans="1:2">
      <c r="A493" s="9" t="str">
        <f>IF(联盟DKP榜单!A494&lt;&gt;"",联盟DKP榜单!A494,"")</f>
        <v>褚墨儿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冷清初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-13</v>
      </c>
    </row>
    <row r="495" spans="1:2">
      <c r="A495" s="9" t="str">
        <f>IF(联盟DKP榜单!A496&lt;&gt;"",联盟DKP榜单!A496,"")</f>
        <v>冉灬子灬墨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0</v>
      </c>
    </row>
    <row r="496" spans="1:2">
      <c r="A496" s="9" t="str">
        <f>IF(联盟DKP榜单!A497&lt;&gt;"",联盟DKP榜单!A497,"")</f>
        <v>咸鱼棒棒糖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Sunnyboy丶桔子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荰菰求败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储舜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0</v>
      </c>
    </row>
    <row r="500" spans="1:2">
      <c r="A500" s="9" t="str">
        <f>IF(联盟DKP榜单!A501&lt;&gt;"",联盟DKP榜单!A501,"")</f>
        <v>是1100下线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卿素丶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那年今若、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0</v>
      </c>
    </row>
    <row r="503" spans="1:2">
      <c r="A503" s="9" t="str">
        <f>IF(联盟DKP榜单!A504&lt;&gt;"",联盟DKP榜单!A504,"")</f>
        <v>赤月染红尘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尹霓裳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26</v>
      </c>
    </row>
    <row r="505" spans="1:2">
      <c r="A505" s="9" t="str">
        <f>IF(联盟DKP榜单!A506&lt;&gt;"",联盟DKP榜单!A506,"")</f>
        <v>夏鸳丶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小时候就很皮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0</v>
      </c>
    </row>
    <row r="507" spans="1:2">
      <c r="A507" s="9" t="str">
        <f>IF(联盟DKP榜单!A508&lt;&gt;"",联盟DKP榜单!A508,"")</f>
        <v>落花丶醉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-2</v>
      </c>
    </row>
    <row r="508" spans="1:2">
      <c r="A508" s="9" t="str">
        <f>IF(联盟DKP榜单!A509&lt;&gt;"",联盟DKP榜单!A509,"")</f>
        <v>好想告诉伱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墨织丶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骄傲的龙王丶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夺命魅影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0</v>
      </c>
    </row>
    <row r="512" spans="1:2">
      <c r="A512" s="9" t="str">
        <f>IF(联盟DKP榜单!A513&lt;&gt;"",联盟DKP榜单!A513,"")</f>
        <v>余靚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九袋丐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0</v>
      </c>
    </row>
    <row r="514" spans="1:2">
      <c r="A514" s="9" t="str">
        <f>IF(联盟DKP榜单!A515&lt;&gt;"",联盟DKP榜单!A515,"")</f>
        <v>神奇宝贝杨尼玛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紫心瞳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0</v>
      </c>
    </row>
    <row r="516" spans="1:2">
      <c r="A516" s="9" t="str">
        <f>IF(联盟DKP榜单!A517&lt;&gt;"",联盟DKP榜单!A517,"")</f>
        <v>何月凡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3</v>
      </c>
    </row>
    <row r="517" spans="1:2">
      <c r="A517" s="9" t="str">
        <f>IF(联盟DKP榜单!A518&lt;&gt;"",联盟DKP榜单!A518,"")</f>
        <v>剣殊雨寒丶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乏乏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旧梦丶如风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0</v>
      </c>
    </row>
    <row r="520" spans="1:2">
      <c r="A520" s="9" t="str">
        <f>IF(联盟DKP榜单!A521&lt;&gt;"",联盟DKP榜单!A521,"")</f>
        <v>莫倾城灬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纯阳甲字声望商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6</v>
      </c>
    </row>
    <row r="522" spans="1:2">
      <c r="A522" s="9" t="str">
        <f>IF(联盟DKP榜单!A523&lt;&gt;"",联盟DKP榜单!A523,"")</f>
        <v>最可爱的师姐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0</v>
      </c>
    </row>
    <row r="523" spans="1:2">
      <c r="A523" s="9" t="str">
        <f>IF(联盟DKP榜单!A524&lt;&gt;"",联盟DKP榜单!A524,"")</f>
        <v>若小瞳丶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15</v>
      </c>
    </row>
    <row r="524" spans="1:2">
      <c r="A524" s="9" t="str">
        <f>IF(联盟DKP榜单!A525&lt;&gt;"",联盟DKP榜单!A525,"")</f>
        <v>顾千尘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伐青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0</v>
      </c>
    </row>
    <row r="526" spans="1:2">
      <c r="A526" s="9" t="str">
        <f>IF(联盟DKP榜单!A527&lt;&gt;"",联盟DKP榜单!A527,"")</f>
        <v>浩浩丶浩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东风路大狗蛋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青羽墨染云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17</v>
      </c>
    </row>
    <row r="529" spans="1:2">
      <c r="A529" s="9" t="str">
        <f>IF(联盟DKP榜单!A530&lt;&gt;"",联盟DKP榜单!A530,"")</f>
        <v>徐耶比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有琴梦玄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0</v>
      </c>
    </row>
    <row r="531" spans="1:2">
      <c r="A531" s="9" t="str">
        <f>IF(联盟DKP榜单!A532&lt;&gt;"",联盟DKP榜单!A532,"")</f>
        <v>小心有诈哦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16</v>
      </c>
    </row>
    <row r="532" spans="1:2">
      <c r="A532" s="9" t="str">
        <f>IF(联盟DKP榜单!A533&lt;&gt;"",联盟DKP榜单!A533,"")</f>
        <v>冉灬子墨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0</v>
      </c>
    </row>
    <row r="533" spans="1:2">
      <c r="A533" s="9" t="str">
        <f>IF(联盟DKP榜单!A534&lt;&gt;"",联盟DKP榜单!A534,"")</f>
        <v>歌风路丶三狗蛋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-8</v>
      </c>
    </row>
    <row r="534" spans="1:2">
      <c r="A534" s="9" t="str">
        <f>IF(联盟DKP榜单!A535&lt;&gt;"",联盟DKP榜单!A535,"")</f>
        <v>友善的小内衣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0</v>
      </c>
    </row>
    <row r="535" spans="1:2">
      <c r="A535" s="9" t="str">
        <f>IF(联盟DKP榜单!A536&lt;&gt;"",联盟DKP榜单!A536,"")</f>
        <v>伱的酒窝没有酒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天使去要饭丶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肆虐丶龙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0</v>
      </c>
    </row>
    <row r="538" spans="1:2">
      <c r="A538" s="9" t="str">
        <f>IF(联盟DKP榜单!A539&lt;&gt;"",联盟DKP榜单!A539,"")</f>
        <v>天涯劍豪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入梦落樱满熏香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0</v>
      </c>
    </row>
    <row r="540" spans="1:2">
      <c r="A540" s="9" t="str">
        <f>IF(联盟DKP榜单!A541&lt;&gt;"",联盟DKP榜单!A541,"")</f>
        <v>月牙冲天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璐小虫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1</v>
      </c>
    </row>
    <row r="542" spans="1:2">
      <c r="A542" s="9" t="str">
        <f>IF(联盟DKP榜单!A543&lt;&gt;"",联盟DKP榜单!A543,"")</f>
        <v>志方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祠下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3</v>
      </c>
    </row>
    <row r="544" spans="1:2">
      <c r="A544" s="9" t="str">
        <f>IF(联盟DKP榜单!A545&lt;&gt;"",联盟DKP榜单!A545,"")</f>
        <v>四月耀阳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离渊不破笑道人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唐舞桐灬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-3</v>
      </c>
    </row>
    <row r="547" spans="1:2">
      <c r="A547" s="9" t="str">
        <f>IF(联盟DKP榜单!A548&lt;&gt;"",联盟DKP榜单!A548,"")</f>
        <v>暴走的板栗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0</v>
      </c>
    </row>
    <row r="548" spans="1:2">
      <c r="A548" s="9" t="str">
        <f>IF(联盟DKP榜单!A549&lt;&gt;"",联盟DKP榜单!A549,"")</f>
        <v>伊似君心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追风少年鹰老七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萝卜土豆丝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素衣点梅妆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0</v>
      </c>
    </row>
    <row r="552" spans="1:2">
      <c r="A552" s="9" t="str">
        <f>IF(联盟DKP榜单!A553&lt;&gt;"",联盟DKP榜单!A553,"")</f>
        <v>墨小豌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0</v>
      </c>
    </row>
    <row r="553" spans="1:2">
      <c r="A553" s="9" t="str">
        <f>IF(联盟DKP榜单!A554&lt;&gt;"",联盟DKP榜单!A554,"")</f>
        <v>马来西亚的咪咪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0</v>
      </c>
    </row>
    <row r="554" spans="1:2">
      <c r="A554" s="9" t="str">
        <f>IF(联盟DKP榜单!A555&lt;&gt;"",联盟DKP榜单!A555,"")</f>
        <v>叶枫刃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0</v>
      </c>
    </row>
    <row r="555" spans="1:2">
      <c r="A555" s="9" t="str">
        <f>IF(联盟DKP榜单!A556&lt;&gt;"",联盟DKP榜单!A556,"")</f>
        <v>青城爱未恋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-10</v>
      </c>
    </row>
    <row r="556" spans="1:2">
      <c r="A556" s="9" t="str">
        <f>IF(联盟DKP榜单!A557&lt;&gt;"",联盟DKP榜单!A557,"")</f>
        <v>木易开宇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二瞳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0</v>
      </c>
    </row>
    <row r="558" spans="1:2">
      <c r="A558" s="9" t="str">
        <f>IF(联盟DKP榜单!A559&lt;&gt;"",联盟DKP榜单!A559,"")</f>
        <v>花开灬渐隐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游富来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/>
      <c r="B560" s="9"/>
    </row>
    <row r="561" spans="1:2">
      <c r="A561" s="9"/>
      <c r="B561" s="9"/>
    </row>
    <row r="562" spans="1:2">
      <c r="A562" s="9"/>
      <c r="B562" s="9"/>
    </row>
    <row r="563" spans="1:2">
      <c r="A563" s="9"/>
      <c r="B563" s="9"/>
    </row>
    <row r="564" spans="1:2">
      <c r="A564" s="9"/>
      <c r="B564" s="9"/>
    </row>
    <row r="565" spans="1:2">
      <c r="A565" s="9"/>
      <c r="B565" s="9"/>
    </row>
    <row r="566" spans="1:2">
      <c r="A566" s="9"/>
      <c r="B566" s="9"/>
    </row>
    <row r="567" spans="1:2">
      <c r="A567" s="9"/>
      <c r="B567" s="9"/>
    </row>
    <row r="568" spans="1:2">
      <c r="A568" s="9"/>
      <c r="B568" s="9"/>
    </row>
    <row r="569" spans="1:2">
      <c r="A569" s="9"/>
      <c r="B569" s="9"/>
    </row>
    <row r="570" spans="1:2">
      <c r="A570" s="9"/>
      <c r="B570" s="9"/>
    </row>
    <row r="571" spans="1:2">
      <c r="A571" s="9"/>
      <c r="B571" s="9"/>
    </row>
    <row r="572" spans="1:2">
      <c r="A572" s="9"/>
      <c r="B572" s="9"/>
    </row>
    <row r="573" spans="1:2">
      <c r="A573" s="9"/>
      <c r="B573" s="9"/>
    </row>
    <row r="574" spans="1:2">
      <c r="A574" s="9"/>
      <c r="B574" s="9"/>
    </row>
    <row r="575" spans="1:2">
      <c r="A575" s="9"/>
      <c r="B575" s="9"/>
    </row>
    <row r="576" spans="1:2">
      <c r="A576" s="9"/>
      <c r="B576" s="9"/>
    </row>
    <row r="577" spans="1:2">
      <c r="A577" s="9"/>
      <c r="B577" s="9"/>
    </row>
    <row r="578" spans="1:2">
      <c r="A578" s="9"/>
      <c r="B578" s="9"/>
    </row>
    <row r="579" spans="1:2">
      <c r="A579" s="9"/>
      <c r="B579" s="9"/>
    </row>
    <row r="580" spans="1:2">
      <c r="A580" s="9"/>
      <c r="B580" s="9"/>
    </row>
    <row r="581" spans="1:2">
      <c r="A581" s="9"/>
      <c r="B581" s="9"/>
    </row>
    <row r="582" spans="1:2">
      <c r="A582" s="9"/>
      <c r="B582" s="9"/>
    </row>
    <row r="583" spans="1:2">
      <c r="A583" s="9"/>
      <c r="B583" s="9"/>
    </row>
    <row r="584" spans="1:2">
      <c r="A584" s="9"/>
      <c r="B584" s="9"/>
    </row>
    <row r="585" spans="1:2">
      <c r="A585" s="9"/>
      <c r="B585" s="9"/>
    </row>
    <row r="586" spans="1:2">
      <c r="A586" s="9"/>
      <c r="B586" s="9"/>
    </row>
    <row r="587" spans="1:2">
      <c r="A587" s="9"/>
      <c r="B587" s="9"/>
    </row>
    <row r="588" spans="1:2">
      <c r="A588" s="9"/>
      <c r="B588" s="9"/>
    </row>
    <row r="589" spans="1:2">
      <c r="A589" s="9"/>
      <c r="B589" s="9"/>
    </row>
    <row r="590" spans="1:2">
      <c r="A590" s="9"/>
      <c r="B590" s="9"/>
    </row>
    <row r="591" spans="1:2">
      <c r="A591" s="9"/>
      <c r="B591" s="9"/>
    </row>
    <row r="592" spans="1:2">
      <c r="A592" s="9"/>
      <c r="B592" s="9"/>
    </row>
    <row r="593" spans="1:2">
      <c r="A593" s="9"/>
      <c r="B593" s="9"/>
    </row>
    <row r="594" spans="1:2">
      <c r="A594" s="9"/>
      <c r="B594" s="9"/>
    </row>
    <row r="595" spans="1:2">
      <c r="A595" s="9"/>
      <c r="B595" s="9"/>
    </row>
    <row r="596" spans="1:2">
      <c r="A596" s="9"/>
      <c r="B596" s="9"/>
    </row>
    <row r="597" spans="1:2">
      <c r="A597" s="9"/>
      <c r="B597" s="9"/>
    </row>
    <row r="598" spans="1:2">
      <c r="A598" s="9"/>
      <c r="B598" s="9"/>
    </row>
    <row r="599" spans="1:2">
      <c r="A599" s="9"/>
      <c r="B59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2016-12-25T13:58:39Z</dcterms:modified>
</cp:coreProperties>
</file>